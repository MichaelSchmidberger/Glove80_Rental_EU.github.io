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GDr\Glove80 Rental Units\"/>
    </mc:Choice>
  </mc:AlternateContent>
  <xr:revisionPtr revIDLastSave="0" documentId="13_ncr:1_{C9B80643-F101-4507-A58E-030EB8D684E2}" xr6:coauthVersionLast="47" xr6:coauthVersionMax="47" xr10:uidLastSave="{00000000-0000-0000-0000-000000000000}"/>
  <bookViews>
    <workbookView xWindow="57480" yWindow="10845" windowWidth="38640" windowHeight="21840" activeTab="1" xr2:uid="{0C6AA86D-1549-4D79-A427-9CF4B9B1B44F}"/>
  </bookViews>
  <sheets>
    <sheet name="Rental G80 Type #1 (Red Pro Br " sheetId="5" r:id="rId1"/>
    <sheet name="Rental G80 Type#2 (Cherry Bloss" sheetId="6" r:id="rId2"/>
    <sheet name="Accessoires Rental G80 #1" sheetId="1" r:id="rId3"/>
    <sheet name="Accessoires Rental G80 #2" sheetId="7" r:id="rId4"/>
    <sheet name="Return Shipping Adress" sheetId="4" r:id="rId5"/>
    <sheet name="Fees" sheetId="3" r:id="rId6"/>
  </sheets>
  <definedNames>
    <definedName name="_xlnm._FilterDatabase" localSheetId="2" hidden="1">'Accessoires Rental G80 #1'!$A$2:$J$2</definedName>
    <definedName name="_xlnm._FilterDatabase" localSheetId="3" hidden="1">'Accessoires Rental G80 #2'!$A$2:$J$2</definedName>
    <definedName name="_xlnm._FilterDatabase" localSheetId="0" hidden="1">'Rental G80 Type #1 (Red Pro Br '!$A$4:$W$26</definedName>
    <definedName name="_xlnm._FilterDatabase" localSheetId="1" hidden="1">'Rental G80 Type#2 (Cherry Bloss'!$A$4:$W$26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7" l="1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" i="1"/>
  <c r="D4" i="3" l="1"/>
  <c r="D5" i="3"/>
  <c r="D6" i="3"/>
</calcChain>
</file>

<file path=xl/sharedStrings.xml><?xml version="1.0" encoding="utf-8"?>
<sst xmlns="http://schemas.openxmlformats.org/spreadsheetml/2006/main" count="516" uniqueCount="153">
  <si>
    <t>Qty</t>
  </si>
  <si>
    <t>Item</t>
  </si>
  <si>
    <t>specification 1</t>
  </si>
  <si>
    <t>specification 2</t>
  </si>
  <si>
    <t>specification 3</t>
  </si>
  <si>
    <t>Comment</t>
  </si>
  <si>
    <t>Glove80 Ergonomic Keyboard Revision 2</t>
  </si>
  <si>
    <t>Travel Case - Gray</t>
  </si>
  <si>
    <t>Custom - Mostly Brown Tactile</t>
  </si>
  <si>
    <t>1m USB 2.0 A to Dual USB-C Split cable</t>
  </si>
  <si>
    <t>Linear / Clicky / Tactile</t>
  </si>
  <si>
    <t>Linear</t>
  </si>
  <si>
    <t>Silver</t>
  </si>
  <si>
    <t>Pink</t>
  </si>
  <si>
    <t>Tactile</t>
  </si>
  <si>
    <t>Clicky</t>
  </si>
  <si>
    <t>Brown</t>
  </si>
  <si>
    <t>Switch tester (4x4)</t>
  </si>
  <si>
    <t>Red Pro</t>
  </si>
  <si>
    <t>Nocturnal</t>
  </si>
  <si>
    <t>Twilight</t>
  </si>
  <si>
    <t>Switch</t>
  </si>
  <si>
    <t>Manufacturer</t>
  </si>
  <si>
    <t>Brand</t>
  </si>
  <si>
    <t>Kailh (Kaihua Electronics)</t>
  </si>
  <si>
    <t>Choc</t>
  </si>
  <si>
    <t>Actuation</t>
  </si>
  <si>
    <t>Travel</t>
  </si>
  <si>
    <t>Total Travel</t>
  </si>
  <si>
    <t>Nominal</t>
  </si>
  <si>
    <t>Tolerance</t>
  </si>
  <si>
    <t>Version</t>
  </si>
  <si>
    <t>v1</t>
  </si>
  <si>
    <t xml:space="preserve">Nominal </t>
  </si>
  <si>
    <t>Crystal Red</t>
  </si>
  <si>
    <t>Blue</t>
  </si>
  <si>
    <t>Jade</t>
  </si>
  <si>
    <t>Note</t>
  </si>
  <si>
    <t>stronger bump</t>
  </si>
  <si>
    <t>Gold plated spring</t>
  </si>
  <si>
    <t>Pale Blue</t>
  </si>
  <si>
    <t>Form factor
(low profile etc.)</t>
  </si>
  <si>
    <t>White</t>
  </si>
  <si>
    <t>Low Profile</t>
  </si>
  <si>
    <t>Burnt Orange</t>
  </si>
  <si>
    <t>Red</t>
  </si>
  <si>
    <t>Included with switch tester</t>
  </si>
  <si>
    <t>Dark Yellow</t>
  </si>
  <si>
    <t>Navy</t>
  </si>
  <si>
    <t>Glove 80</t>
  </si>
  <si>
    <t>Lowprokb</t>
  </si>
  <si>
    <t>Color</t>
  </si>
  <si>
    <t>black</t>
  </si>
  <si>
    <t>Sunset</t>
  </si>
  <si>
    <t>Sunrise</t>
  </si>
  <si>
    <t>Designer</t>
  </si>
  <si>
    <t>bottom</t>
  </si>
  <si>
    <t>top</t>
  </si>
  <si>
    <t>stem</t>
  </si>
  <si>
    <t>orange POM</t>
  </si>
  <si>
    <t>amber PC</t>
  </si>
  <si>
    <t>black nylon</t>
  </si>
  <si>
    <t>Silent Linear</t>
  </si>
  <si>
    <t>Operation Force</t>
  </si>
  <si>
    <t>Tactile Force</t>
  </si>
  <si>
    <t>Not yet acquired</t>
  </si>
  <si>
    <t>Type</t>
  </si>
  <si>
    <t>main</t>
  </si>
  <si>
    <t>cable</t>
  </si>
  <si>
    <t xml:space="preserve">Present </t>
  </si>
  <si>
    <t>Keycap set 12pc random (6x white, 2x Sys)</t>
  </si>
  <si>
    <t>Glove80 Media White Keycap Add-on set</t>
  </si>
  <si>
    <t>Art #</t>
  </si>
  <si>
    <t>MCC-SAO-ME-WT</t>
  </si>
  <si>
    <t>Glove80 Labelled Black Keycap set</t>
  </si>
  <si>
    <t>MCC-GLV80-EN-BO</t>
  </si>
  <si>
    <t>Glove80 BEPO white Keycap Add-on set</t>
  </si>
  <si>
    <t>MCC-LAO-BE-WT</t>
  </si>
  <si>
    <t>MCC Homing 2-Pack Translucent white</t>
  </si>
  <si>
    <t>MCC-OM-1UH-WT-PK2</t>
  </si>
  <si>
    <t>Glove 80 GB/DE/Nordic White Keycap Add-on Set</t>
  </si>
  <si>
    <t>MCC-LAO-NE-WT</t>
  </si>
  <si>
    <t>Glove 80 Spanish &amp; Italian White Keycap Add-on Set</t>
  </si>
  <si>
    <t>MCC-LAO-SI-WT</t>
  </si>
  <si>
    <t>Glove 80 Universal White Keycap Add-on Set</t>
  </si>
  <si>
    <t>MCC-SAO-UN-WT</t>
  </si>
  <si>
    <t>Glove80 AZERTY White Keycap Add-on Set</t>
  </si>
  <si>
    <t>MCC-LAO-AZ-WT</t>
  </si>
  <si>
    <t>MCC-SAO-AP-WT</t>
  </si>
  <si>
    <t>MCCD-SAO-ND-WT</t>
  </si>
  <si>
    <t>Glove80 Nerds White Keycap Add-on Set</t>
  </si>
  <si>
    <t>MCC 1U 10-Pack Translucent white</t>
  </si>
  <si>
    <t>MCC-POM-1U-WT-PK10</t>
  </si>
  <si>
    <t>MBK Convex 1U 2-Pack Translucent White</t>
  </si>
  <si>
    <t>MBK-POM-1UX-WT-PK2</t>
  </si>
  <si>
    <t>Please contact me for longer rental periods, such that I can arrange with follow-up bookings</t>
  </si>
  <si>
    <t>Rental base fee</t>
  </si>
  <si>
    <t>Description</t>
  </si>
  <si>
    <t>Total Price</t>
  </si>
  <si>
    <t>Shipping &amp; Labor Price</t>
  </si>
  <si>
    <t>Part Price</t>
  </si>
  <si>
    <t>Fee</t>
  </si>
  <si>
    <t>MoErgo Glove80 Fee Structure</t>
  </si>
  <si>
    <t>Security Deposit will be returned within 5 bank working days of receipt of the rental unit. Deductions apply in case of damages or missing accessoires</t>
  </si>
  <si>
    <t>Additional rental time (per day)</t>
  </si>
  <si>
    <t>Security deposit</t>
  </si>
  <si>
    <t>Base fee including: shipping &amp; return shipping cost (within Germany); Rental for 14 calendar days; Rental time starts with arrival at your door &amp; ends 1 day after the return post-date</t>
  </si>
  <si>
    <t>Dr. Michael J. Schmidberger</t>
  </si>
  <si>
    <t>Street</t>
  </si>
  <si>
    <t>Alpenstr. 32</t>
  </si>
  <si>
    <t>Recipeint</t>
  </si>
  <si>
    <t>Postal Code &amp; City</t>
  </si>
  <si>
    <t>86830 Schwabmuenchen</t>
  </si>
  <si>
    <t>Country</t>
  </si>
  <si>
    <t>Germany</t>
  </si>
  <si>
    <t>Address for return shipping</t>
  </si>
  <si>
    <t>Contact Details</t>
  </si>
  <si>
    <t>E-Mail</t>
  </si>
  <si>
    <t>Michael.Schmidberger@gmail.com</t>
  </si>
  <si>
    <t>Mobile</t>
  </si>
  <si>
    <t>0176 95831781</t>
  </si>
  <si>
    <t>Original</t>
  </si>
  <si>
    <t>Switch Tester (including 14 test switches)</t>
  </si>
  <si>
    <t>Switch tester</t>
  </si>
  <si>
    <t>soldered</t>
  </si>
  <si>
    <t>Glove80 Apple White Keycap Add-on Set</t>
  </si>
  <si>
    <t>keycaps (in bottle)</t>
  </si>
  <si>
    <t>USB-A to USB-c cable (white)</t>
  </si>
  <si>
    <t>Diff</t>
  </si>
  <si>
    <t>keycaps (in plastic bag)</t>
  </si>
  <si>
    <t>MoErgo</t>
  </si>
  <si>
    <t>Cherry blossom</t>
  </si>
  <si>
    <t>cherry blossom</t>
  </si>
  <si>
    <t>clear casing</t>
  </si>
  <si>
    <t>Location</t>
  </si>
  <si>
    <t>Operating Life [cycles]</t>
  </si>
  <si>
    <t>Device (Glove 80 or keyswitch tester)</t>
  </si>
  <si>
    <t>Model</t>
  </si>
  <si>
    <t>Left</t>
  </si>
  <si>
    <t>Right</t>
  </si>
  <si>
    <t>CPG1350501D01-1</t>
  </si>
  <si>
    <t>smoked translucent</t>
  </si>
  <si>
    <t>CPG1350501D01</t>
  </si>
  <si>
    <t>light green (sage)</t>
  </si>
  <si>
    <t>eggplant (deep purple) nylon</t>
  </si>
  <si>
    <t>Peach POM</t>
  </si>
  <si>
    <t>rose translucent polycarbonate</t>
  </si>
  <si>
    <t>ö</t>
  </si>
  <si>
    <t>Ordered - should arrive soon</t>
  </si>
  <si>
    <t>Half (of Glove 80)</t>
  </si>
  <si>
    <t>Plum Blossom</t>
  </si>
  <si>
    <t>Cherry Blossom</t>
  </si>
  <si>
    <t>Black Nylon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</si>
</sst>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[Red]\-#,##0.00\ &quot;€&quot;"/>
    <numFmt numFmtId="165" formatCode="0&quot;gf&quot;"/>
    <numFmt numFmtId="166" formatCode="0.0\ &quot;mm&quot;"/>
    <numFmt numFmtId="167" formatCode="0\ &quot;cycles&quot;"/>
  </numFmts>
  <fonts count="1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rgb="FF2E75B5"/>
      <name val="Arial"/>
      <family val="2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3" fillId="0" borderId="0"/>
  </cellStyleXfs>
  <cellXfs count="41">
    <xf numFmtId="0" fontId="0" fillId="0" borderId="0" xfId="0"/>
    <xf numFmtId="0" fontId="5" fillId="0" borderId="0" xfId="0" applyFont="1"/>
    <xf numFmtId="166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wrapText="1"/>
    </xf>
    <xf numFmtId="166" fontId="6" fillId="0" borderId="0" xfId="0" applyNumberFormat="1" applyFont="1"/>
    <xf numFmtId="166" fontId="6" fillId="0" borderId="0" xfId="0" applyNumberFormat="1" applyFont="1" applyAlignment="1">
      <alignment wrapText="1"/>
    </xf>
    <xf numFmtId="0" fontId="9" fillId="0" borderId="0" xfId="1"/>
    <xf numFmtId="0" fontId="3" fillId="0" borderId="0" xfId="2"/>
    <xf numFmtId="164" fontId="3" fillId="0" borderId="0" xfId="2" applyNumberFormat="1"/>
    <xf numFmtId="164" fontId="3" fillId="0" borderId="0" xfId="2" applyNumberFormat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164" fontId="4" fillId="0" borderId="0" xfId="2" applyNumberFormat="1" applyFont="1" applyAlignment="1">
      <alignment horizontal="center" vertical="center" wrapText="1"/>
    </xf>
    <xf numFmtId="0" fontId="3" fillId="2" borderId="0" xfId="2" applyFill="1" applyAlignment="1">
      <alignment horizontal="center" vertical="center" wrapText="1"/>
    </xf>
    <xf numFmtId="164" fontId="3" fillId="2" borderId="0" xfId="2" applyNumberFormat="1" applyFill="1" applyAlignment="1">
      <alignment vertical="center" wrapText="1"/>
    </xf>
    <xf numFmtId="164" fontId="3" fillId="2" borderId="0" xfId="2" applyNumberFormat="1" applyFill="1" applyAlignment="1">
      <alignment horizontal="center" vertical="center" wrapText="1"/>
    </xf>
    <xf numFmtId="0" fontId="2" fillId="2" borderId="0" xfId="2" applyFont="1" applyFill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horizontal="centerContinuous"/>
    </xf>
    <xf numFmtId="14" fontId="6" fillId="0" borderId="0" xfId="0" applyNumberFormat="1" applyFont="1"/>
    <xf numFmtId="0" fontId="10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3" fillId="2" borderId="0" xfId="2" applyFill="1" applyAlignment="1">
      <alignment horizontal="left" vertical="center" wrapText="1"/>
    </xf>
    <xf numFmtId="0" fontId="2" fillId="2" borderId="0" xfId="2" applyFont="1" applyFill="1" applyAlignment="1">
      <alignment horizontal="left" vertical="center" wrapText="1"/>
    </xf>
    <xf numFmtId="0" fontId="3" fillId="0" borderId="0" xfId="2" applyAlignment="1">
      <alignment horizontal="left"/>
    </xf>
    <xf numFmtId="165" fontId="5" fillId="0" borderId="0" xfId="0" applyNumberFormat="1" applyFont="1"/>
    <xf numFmtId="0" fontId="6" fillId="0" borderId="0" xfId="0" applyFont="1" applyAlignment="1">
      <alignment horizontal="centerContinuous"/>
    </xf>
    <xf numFmtId="165" fontId="6" fillId="0" borderId="0" xfId="0" applyNumberFormat="1" applyFont="1" applyAlignment="1">
      <alignment horizontal="centerContinuous"/>
    </xf>
    <xf numFmtId="166" fontId="6" fillId="0" borderId="0" xfId="0" applyNumberFormat="1" applyFont="1" applyAlignment="1">
      <alignment horizontal="centerContinuous"/>
    </xf>
    <xf numFmtId="165" fontId="6" fillId="0" borderId="0" xfId="0" applyNumberFormat="1" applyFont="1" applyAlignment="1">
      <alignment horizontal="centerContinuous" wrapText="1"/>
    </xf>
    <xf numFmtId="166" fontId="6" fillId="0" borderId="0" xfId="0" applyNumberFormat="1" applyFont="1" applyAlignment="1">
      <alignment horizontal="centerContinuous" wrapText="1"/>
    </xf>
    <xf numFmtId="165" fontId="6" fillId="0" borderId="0" xfId="0" applyNumberFormat="1" applyFont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67" fontId="6" fillId="0" borderId="0" xfId="0" applyNumberFormat="1" applyFont="1"/>
    <xf numFmtId="167" fontId="6" fillId="0" borderId="0" xfId="0" applyNumberFormat="1" applyFont="1" applyAlignment="1">
      <alignment horizontal="centerContinuous" wrapText="1"/>
    </xf>
    <xf numFmtId="167" fontId="5" fillId="0" borderId="0" xfId="0" applyNumberFormat="1" applyFont="1"/>
    <xf numFmtId="0" fontId="5" fillId="3" borderId="0" xfId="0" applyFont="1" applyFill="1"/>
    <xf numFmtId="165" fontId="5" fillId="3" borderId="0" xfId="0" applyNumberFormat="1" applyFont="1" applyFill="1"/>
    <xf numFmtId="166" fontId="5" fillId="3" borderId="0" xfId="0" applyNumberFormat="1" applyFont="1" applyFill="1"/>
    <xf numFmtId="167" fontId="5" fillId="3" borderId="0" xfId="0" applyNumberFormat="1" applyFont="1" applyFill="1"/>
  </cellXfs>
  <cellStyles count="3">
    <cellStyle name="Hyperlink" xfId="1" builtinId="8"/>
    <cellStyle name="Normal" xfId="0" builtinId="0"/>
    <cellStyle name="Normal 2" xfId="2" xr:uid="{40A97008-6A2E-49E6-B64C-FD7276B88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wprokb.ca/products/ambients-silent-choc-switches?variant=44873426436260" TargetMode="External"/><Relationship Id="rId7" Type="http://schemas.openxmlformats.org/officeDocument/2006/relationships/hyperlink" Target="https://splitkb.com/products/ambients-kailh-low-profile-choc-switches?variant=48116169277787" TargetMode="External"/><Relationship Id="rId2" Type="http://schemas.openxmlformats.org/officeDocument/2006/relationships/hyperlink" Target="https://lowprokb.ca/products/ambients-silent-choc-switches?variant=44873446391972" TargetMode="External"/><Relationship Id="rId1" Type="http://schemas.openxmlformats.org/officeDocument/2006/relationships/hyperlink" Target="https://lowprokb.ca/products/ambients-silent-choc-switches?variant=44873446391972" TargetMode="External"/><Relationship Id="rId6" Type="http://schemas.openxmlformats.org/officeDocument/2006/relationships/hyperlink" Target="https://splitkb.com/products/ambients-kailh-low-profile-choc-switches?variant=48116169277787" TargetMode="External"/><Relationship Id="rId5" Type="http://schemas.openxmlformats.org/officeDocument/2006/relationships/hyperlink" Target="https://splitkb.com/products/ambients-kailh-low-profile-choc-switches?variant=48116169277787" TargetMode="External"/><Relationship Id="rId4" Type="http://schemas.openxmlformats.org/officeDocument/2006/relationships/hyperlink" Target="https://lowprokb.ca/products/ambients-silent-choc-switches?variant=4487344639197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owprokb.ca/products/ambients-silent-choc-switches?variant=44873426436260" TargetMode="External"/><Relationship Id="rId7" Type="http://schemas.openxmlformats.org/officeDocument/2006/relationships/hyperlink" Target="https://splitkb.com/products/ambients-kailh-low-profile-choc-switches?variant=48116169277787" TargetMode="External"/><Relationship Id="rId2" Type="http://schemas.openxmlformats.org/officeDocument/2006/relationships/hyperlink" Target="https://lowprokb.ca/products/ambients-silent-choc-switches?variant=44873446391972" TargetMode="External"/><Relationship Id="rId1" Type="http://schemas.openxmlformats.org/officeDocument/2006/relationships/hyperlink" Target="https://lowprokb.ca/products/ambients-silent-choc-switches?variant=44873446391972" TargetMode="External"/><Relationship Id="rId6" Type="http://schemas.openxmlformats.org/officeDocument/2006/relationships/hyperlink" Target="https://splitkb.com/products/ambients-kailh-low-profile-choc-switches?variant=48116169277787" TargetMode="External"/><Relationship Id="rId5" Type="http://schemas.openxmlformats.org/officeDocument/2006/relationships/hyperlink" Target="https://splitkb.com/products/ambients-kailh-low-profile-choc-switches?variant=48116169277787" TargetMode="External"/><Relationship Id="rId4" Type="http://schemas.openxmlformats.org/officeDocument/2006/relationships/hyperlink" Target="https://lowprokb.ca/products/ambients-silent-choc-switches?variant=448734463919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.Schmidberg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1F51-3B7C-4905-AF0C-1DA7FECFF98E}">
  <dimension ref="A1:AD26"/>
  <sheetViews>
    <sheetView zoomScale="145" zoomScaleNormal="145" workbookViewId="0">
      <selection activeCell="W24" sqref="W24"/>
    </sheetView>
  </sheetViews>
  <sheetFormatPr defaultColWidth="9" defaultRowHeight="14.25" x14ac:dyDescent="0.2"/>
  <cols>
    <col min="1" max="1" width="20" style="1" customWidth="1"/>
    <col min="2" max="2" width="9.875" style="1" customWidth="1"/>
    <col min="3" max="3" width="10.625" style="1" customWidth="1"/>
    <col min="4" max="4" width="22.25" style="1" bestFit="1" customWidth="1"/>
    <col min="5" max="5" width="7.25" style="1" customWidth="1"/>
    <col min="6" max="6" width="6.625" style="1" customWidth="1"/>
    <col min="7" max="7" width="15.25" style="1" bestFit="1" customWidth="1"/>
    <col min="8" max="8" width="12" style="1" customWidth="1"/>
    <col min="9" max="9" width="17.875" style="1" customWidth="1"/>
    <col min="10" max="10" width="15.375" style="1" customWidth="1"/>
    <col min="11" max="11" width="11.875" style="1" customWidth="1"/>
    <col min="12" max="12" width="11.75" style="1" customWidth="1"/>
    <col min="13" max="13" width="8.75" style="1" customWidth="1"/>
    <col min="14" max="14" width="7.625" style="25" customWidth="1"/>
    <col min="15" max="17" width="9" style="25"/>
    <col min="18" max="19" width="11.125" style="2" customWidth="1"/>
    <col min="20" max="21" width="9" style="2"/>
    <col min="22" max="22" width="16.25" style="36" bestFit="1" customWidth="1"/>
    <col min="23" max="23" width="22.625" style="2" bestFit="1" customWidth="1"/>
    <col min="24" max="16384" width="9" style="1"/>
  </cols>
  <sheetData>
    <row r="1" spans="1:23" s="3" customFormat="1" ht="15" x14ac:dyDescent="0.25">
      <c r="A1" s="3" t="s">
        <v>134</v>
      </c>
      <c r="D1" s="26"/>
      <c r="E1" s="26"/>
      <c r="F1" s="26"/>
      <c r="G1" s="26"/>
      <c r="H1" s="26" t="s">
        <v>21</v>
      </c>
      <c r="I1" s="26"/>
      <c r="J1" s="26"/>
      <c r="K1" s="26"/>
      <c r="L1" s="26"/>
      <c r="M1" s="26"/>
      <c r="N1" s="27"/>
      <c r="O1" s="27"/>
      <c r="P1" s="27"/>
      <c r="Q1" s="27"/>
      <c r="R1" s="5"/>
      <c r="S1" s="5"/>
      <c r="T1" s="5"/>
      <c r="U1" s="5"/>
      <c r="V1" s="34"/>
      <c r="W1" s="5"/>
    </row>
    <row r="2" spans="1:23" s="3" customFormat="1" ht="15" x14ac:dyDescent="0.25">
      <c r="D2" s="26"/>
      <c r="E2" s="26"/>
      <c r="F2" s="26"/>
      <c r="G2" s="26"/>
      <c r="H2" s="26"/>
      <c r="I2" s="26"/>
      <c r="J2" s="26" t="s">
        <v>51</v>
      </c>
      <c r="K2" s="26"/>
      <c r="L2" s="26"/>
      <c r="M2" s="26"/>
      <c r="N2" s="27" t="s">
        <v>26</v>
      </c>
      <c r="O2" s="27"/>
      <c r="P2" s="27"/>
      <c r="Q2" s="27"/>
      <c r="R2" s="28"/>
      <c r="S2" s="28"/>
      <c r="T2" s="5"/>
      <c r="U2" s="5"/>
      <c r="V2" s="34"/>
      <c r="W2" s="5" t="s">
        <v>5</v>
      </c>
    </row>
    <row r="3" spans="1:23" s="4" customFormat="1" ht="42" customHeight="1" x14ac:dyDescent="0.25">
      <c r="N3" s="29" t="s">
        <v>63</v>
      </c>
      <c r="O3" s="29"/>
      <c r="P3" s="29" t="s">
        <v>64</v>
      </c>
      <c r="Q3" s="29"/>
      <c r="R3" s="30" t="s">
        <v>27</v>
      </c>
      <c r="S3" s="30"/>
      <c r="T3" s="30" t="s">
        <v>28</v>
      </c>
      <c r="U3" s="30"/>
      <c r="V3" s="35" t="s">
        <v>135</v>
      </c>
      <c r="W3" s="6"/>
    </row>
    <row r="4" spans="1:23" ht="45" x14ac:dyDescent="0.25">
      <c r="A4" s="4" t="s">
        <v>136</v>
      </c>
      <c r="B4" s="4" t="s">
        <v>149</v>
      </c>
      <c r="C4" s="4" t="s">
        <v>55</v>
      </c>
      <c r="D4" s="4" t="s">
        <v>22</v>
      </c>
      <c r="E4" s="4" t="s">
        <v>23</v>
      </c>
      <c r="F4" s="4" t="s">
        <v>31</v>
      </c>
      <c r="G4" s="4" t="s">
        <v>137</v>
      </c>
      <c r="H4" s="4" t="s">
        <v>10</v>
      </c>
      <c r="I4" s="4" t="s">
        <v>41</v>
      </c>
      <c r="J4" s="4" t="s">
        <v>56</v>
      </c>
      <c r="K4" s="4" t="s">
        <v>58</v>
      </c>
      <c r="L4" s="4" t="s">
        <v>57</v>
      </c>
      <c r="M4" s="4" t="s">
        <v>37</v>
      </c>
      <c r="N4" s="31" t="s">
        <v>29</v>
      </c>
      <c r="O4" s="31" t="s">
        <v>30</v>
      </c>
      <c r="P4" s="31" t="s">
        <v>29</v>
      </c>
      <c r="Q4" s="31" t="s">
        <v>30</v>
      </c>
      <c r="R4" s="5" t="s">
        <v>29</v>
      </c>
      <c r="S4" s="5" t="s">
        <v>30</v>
      </c>
      <c r="T4" s="5" t="s">
        <v>33</v>
      </c>
      <c r="U4" s="5" t="s">
        <v>30</v>
      </c>
      <c r="V4" s="34"/>
      <c r="W4" s="5"/>
    </row>
    <row r="5" spans="1:23" s="3" customFormat="1" ht="15" x14ac:dyDescent="0.25">
      <c r="A5" s="3" t="s">
        <v>49</v>
      </c>
      <c r="B5" s="3" t="s">
        <v>138</v>
      </c>
      <c r="D5" s="3" t="s">
        <v>24</v>
      </c>
      <c r="E5" s="3" t="s">
        <v>25</v>
      </c>
      <c r="F5" s="3" t="s">
        <v>32</v>
      </c>
      <c r="H5" s="3" t="s">
        <v>11</v>
      </c>
      <c r="I5" s="3" t="s">
        <v>43</v>
      </c>
      <c r="J5" s="3" t="s">
        <v>18</v>
      </c>
      <c r="N5" s="31">
        <v>35</v>
      </c>
      <c r="O5" s="31">
        <v>10</v>
      </c>
      <c r="P5" s="31"/>
      <c r="Q5" s="31"/>
      <c r="R5" s="5">
        <v>1.5</v>
      </c>
      <c r="S5" s="5">
        <v>0.5</v>
      </c>
      <c r="T5" s="5">
        <v>3</v>
      </c>
      <c r="U5" s="5">
        <v>0.5</v>
      </c>
      <c r="V5" s="34"/>
      <c r="W5" s="5"/>
    </row>
    <row r="6" spans="1:23" s="3" customFormat="1" ht="15" x14ac:dyDescent="0.25">
      <c r="A6" s="3" t="s">
        <v>49</v>
      </c>
      <c r="B6" s="3" t="s">
        <v>139</v>
      </c>
      <c r="D6" s="3" t="s">
        <v>24</v>
      </c>
      <c r="E6" s="3" t="s">
        <v>25</v>
      </c>
      <c r="F6" s="3" t="s">
        <v>32</v>
      </c>
      <c r="H6" s="3" t="s">
        <v>14</v>
      </c>
      <c r="I6" s="3" t="s">
        <v>43</v>
      </c>
      <c r="J6" s="3" t="s">
        <v>16</v>
      </c>
      <c r="N6" s="31">
        <v>60</v>
      </c>
      <c r="O6" s="31">
        <v>10</v>
      </c>
      <c r="P6" s="31"/>
      <c r="Q6" s="31"/>
      <c r="R6" s="5">
        <v>1.5</v>
      </c>
      <c r="S6" s="5">
        <v>0.5</v>
      </c>
      <c r="T6" s="5">
        <v>3</v>
      </c>
      <c r="U6" s="5">
        <v>0.5</v>
      </c>
      <c r="V6" s="34"/>
      <c r="W6" s="5"/>
    </row>
    <row r="7" spans="1:23" ht="15" x14ac:dyDescent="0.2">
      <c r="A7" s="1" t="s">
        <v>17</v>
      </c>
      <c r="B7" s="32"/>
      <c r="D7" s="1" t="s">
        <v>24</v>
      </c>
      <c r="E7" s="1" t="s">
        <v>25</v>
      </c>
      <c r="H7" s="1" t="s">
        <v>11</v>
      </c>
      <c r="I7" s="1" t="s">
        <v>43</v>
      </c>
      <c r="J7" s="1" t="s">
        <v>18</v>
      </c>
      <c r="N7" s="25">
        <v>35</v>
      </c>
      <c r="O7" s="25">
        <v>10</v>
      </c>
      <c r="R7" s="2">
        <v>1.5</v>
      </c>
      <c r="S7" s="2">
        <v>0.5</v>
      </c>
      <c r="T7" s="2">
        <v>3</v>
      </c>
      <c r="U7" s="2">
        <v>0.5</v>
      </c>
      <c r="W7" s="2" t="s">
        <v>46</v>
      </c>
    </row>
    <row r="8" spans="1:23" ht="15" x14ac:dyDescent="0.2">
      <c r="A8" s="1" t="s">
        <v>17</v>
      </c>
      <c r="B8" s="32"/>
      <c r="D8" s="1" t="s">
        <v>24</v>
      </c>
      <c r="E8" s="1" t="s">
        <v>25</v>
      </c>
      <c r="H8" s="1" t="s">
        <v>11</v>
      </c>
      <c r="I8" s="1" t="s">
        <v>43</v>
      </c>
      <c r="J8" s="1" t="s">
        <v>13</v>
      </c>
      <c r="N8" s="25">
        <v>20</v>
      </c>
      <c r="W8" s="2" t="s">
        <v>46</v>
      </c>
    </row>
    <row r="9" spans="1:23" ht="15" x14ac:dyDescent="0.2">
      <c r="A9" s="1" t="s">
        <v>17</v>
      </c>
      <c r="B9" s="32"/>
      <c r="D9" s="1" t="s">
        <v>24</v>
      </c>
      <c r="E9" s="1" t="s">
        <v>25</v>
      </c>
      <c r="H9" s="1" t="s">
        <v>11</v>
      </c>
      <c r="I9" s="1" t="s">
        <v>43</v>
      </c>
      <c r="J9" s="1" t="s">
        <v>12</v>
      </c>
      <c r="N9" s="25">
        <v>40</v>
      </c>
      <c r="W9" s="2" t="s">
        <v>46</v>
      </c>
    </row>
    <row r="10" spans="1:23" ht="15" x14ac:dyDescent="0.2">
      <c r="A10" s="1" t="s">
        <v>17</v>
      </c>
      <c r="B10" s="32"/>
      <c r="D10" s="1" t="s">
        <v>24</v>
      </c>
      <c r="E10" s="1" t="s">
        <v>25</v>
      </c>
      <c r="H10" s="1" t="s">
        <v>11</v>
      </c>
      <c r="I10" s="1" t="s">
        <v>43</v>
      </c>
      <c r="J10" s="1" t="s">
        <v>34</v>
      </c>
      <c r="N10" s="25">
        <v>35</v>
      </c>
      <c r="W10" s="2" t="s">
        <v>46</v>
      </c>
    </row>
    <row r="11" spans="1:23" ht="15" x14ac:dyDescent="0.2">
      <c r="A11" s="1" t="s">
        <v>17</v>
      </c>
      <c r="B11" s="32"/>
      <c r="D11" s="1" t="s">
        <v>24</v>
      </c>
      <c r="E11" s="1" t="s">
        <v>25</v>
      </c>
      <c r="H11" s="1" t="s">
        <v>11</v>
      </c>
      <c r="I11" s="1" t="s">
        <v>43</v>
      </c>
      <c r="J11" s="1" t="s">
        <v>35</v>
      </c>
      <c r="N11" s="25">
        <v>20</v>
      </c>
      <c r="W11" s="2" t="s">
        <v>46</v>
      </c>
    </row>
    <row r="12" spans="1:23" ht="15" x14ac:dyDescent="0.2">
      <c r="A12" s="1" t="s">
        <v>17</v>
      </c>
      <c r="B12" s="32"/>
      <c r="H12" s="1" t="s">
        <v>11</v>
      </c>
      <c r="I12" s="1" t="s">
        <v>43</v>
      </c>
      <c r="J12" s="1" t="s">
        <v>45</v>
      </c>
      <c r="N12" s="25">
        <v>50</v>
      </c>
      <c r="W12" s="2" t="s">
        <v>46</v>
      </c>
    </row>
    <row r="13" spans="1:23" ht="18" x14ac:dyDescent="0.2">
      <c r="A13" s="1" t="s">
        <v>17</v>
      </c>
      <c r="B13" s="33"/>
      <c r="D13" s="1" t="s">
        <v>24</v>
      </c>
      <c r="H13" s="1" t="s">
        <v>11</v>
      </c>
      <c r="I13" s="1" t="s">
        <v>43</v>
      </c>
      <c r="J13" s="1" t="s">
        <v>47</v>
      </c>
      <c r="N13" s="25">
        <v>70</v>
      </c>
      <c r="W13" s="2" t="s">
        <v>46</v>
      </c>
    </row>
    <row r="14" spans="1:23" ht="15" x14ac:dyDescent="0.2">
      <c r="A14" s="1" t="s">
        <v>17</v>
      </c>
      <c r="B14" s="32"/>
      <c r="D14" s="1" t="s">
        <v>24</v>
      </c>
      <c r="E14" s="1" t="s">
        <v>25</v>
      </c>
      <c r="H14" s="1" t="s">
        <v>15</v>
      </c>
      <c r="I14" s="1" t="s">
        <v>43</v>
      </c>
      <c r="J14" s="1" t="s">
        <v>36</v>
      </c>
      <c r="M14" s="1" t="s">
        <v>38</v>
      </c>
      <c r="N14" s="25">
        <v>50</v>
      </c>
      <c r="W14" s="2" t="s">
        <v>46</v>
      </c>
    </row>
    <row r="15" spans="1:23" ht="15" x14ac:dyDescent="0.2">
      <c r="A15" s="1" t="s">
        <v>17</v>
      </c>
      <c r="B15" s="32"/>
      <c r="D15" s="1" t="s">
        <v>24</v>
      </c>
      <c r="E15" s="1" t="s">
        <v>25</v>
      </c>
      <c r="H15" s="1" t="s">
        <v>15</v>
      </c>
      <c r="I15" s="1" t="s">
        <v>43</v>
      </c>
      <c r="J15" s="1" t="s">
        <v>39</v>
      </c>
      <c r="N15" s="25">
        <v>60</v>
      </c>
      <c r="W15" s="2" t="s">
        <v>46</v>
      </c>
    </row>
    <row r="16" spans="1:23" ht="15" x14ac:dyDescent="0.2">
      <c r="A16" s="1" t="s">
        <v>17</v>
      </c>
      <c r="B16" s="32"/>
      <c r="D16" s="1" t="s">
        <v>24</v>
      </c>
      <c r="E16" s="1" t="s">
        <v>25</v>
      </c>
      <c r="H16" s="1" t="s">
        <v>15</v>
      </c>
      <c r="I16" s="1" t="s">
        <v>43</v>
      </c>
      <c r="J16" s="1" t="s">
        <v>40</v>
      </c>
      <c r="N16" s="25">
        <v>70</v>
      </c>
      <c r="W16" s="2" t="s">
        <v>46</v>
      </c>
    </row>
    <row r="17" spans="1:30" ht="15" x14ac:dyDescent="0.2">
      <c r="A17" s="1" t="s">
        <v>17</v>
      </c>
      <c r="B17" s="32"/>
      <c r="H17" s="1" t="s">
        <v>15</v>
      </c>
      <c r="I17" s="1" t="s">
        <v>43</v>
      </c>
      <c r="J17" s="1" t="s">
        <v>42</v>
      </c>
      <c r="N17" s="25">
        <v>50</v>
      </c>
      <c r="W17" s="2" t="s">
        <v>46</v>
      </c>
    </row>
    <row r="18" spans="1:30" ht="15" x14ac:dyDescent="0.2">
      <c r="A18" s="1" t="s">
        <v>17</v>
      </c>
      <c r="B18" s="32"/>
      <c r="E18" s="1" t="s">
        <v>25</v>
      </c>
      <c r="H18" s="1" t="s">
        <v>15</v>
      </c>
      <c r="I18" s="1" t="s">
        <v>43</v>
      </c>
      <c r="J18" s="1" t="s">
        <v>48</v>
      </c>
      <c r="M18" s="1" t="s">
        <v>38</v>
      </c>
      <c r="N18" s="25">
        <v>60</v>
      </c>
      <c r="W18" s="2" t="s">
        <v>46</v>
      </c>
    </row>
    <row r="19" spans="1:30" ht="15" x14ac:dyDescent="0.2">
      <c r="A19" s="1" t="s">
        <v>17</v>
      </c>
      <c r="B19" s="32"/>
      <c r="D19" s="1" t="s">
        <v>24</v>
      </c>
      <c r="E19" s="1" t="s">
        <v>25</v>
      </c>
      <c r="H19" s="1" t="s">
        <v>14</v>
      </c>
      <c r="I19" s="1" t="s">
        <v>43</v>
      </c>
      <c r="J19" s="1" t="s">
        <v>44</v>
      </c>
      <c r="N19" s="25">
        <v>70</v>
      </c>
      <c r="W19" s="2" t="s">
        <v>46</v>
      </c>
    </row>
    <row r="20" spans="1:30" ht="15" x14ac:dyDescent="0.2">
      <c r="A20" s="1" t="s">
        <v>17</v>
      </c>
      <c r="B20" s="32"/>
      <c r="H20" s="1" t="s">
        <v>14</v>
      </c>
      <c r="I20" s="1" t="s">
        <v>43</v>
      </c>
      <c r="J20" s="1" t="s">
        <v>16</v>
      </c>
      <c r="N20" s="25">
        <v>50</v>
      </c>
      <c r="W20" s="2" t="s">
        <v>46</v>
      </c>
    </row>
    <row r="21" spans="1:30" s="37" customFormat="1" x14ac:dyDescent="0.2">
      <c r="A21" s="37" t="s">
        <v>17</v>
      </c>
      <c r="D21" s="37" t="s">
        <v>130</v>
      </c>
      <c r="E21" s="37" t="s">
        <v>131</v>
      </c>
      <c r="H21" s="37" t="s">
        <v>62</v>
      </c>
      <c r="J21" s="37" t="s">
        <v>132</v>
      </c>
      <c r="L21" s="37" t="s">
        <v>133</v>
      </c>
      <c r="N21" s="38">
        <v>30</v>
      </c>
      <c r="O21" s="38">
        <v>10</v>
      </c>
      <c r="P21" s="38"/>
      <c r="Q21" s="38"/>
      <c r="R21" s="39">
        <v>1.5</v>
      </c>
      <c r="S21" s="39">
        <v>0.5</v>
      </c>
      <c r="T21" s="39">
        <v>3</v>
      </c>
      <c r="U21" s="39">
        <v>0.5</v>
      </c>
      <c r="V21" s="40"/>
      <c r="W21" s="39" t="s">
        <v>46</v>
      </c>
    </row>
    <row r="22" spans="1:30" s="37" customFormat="1" x14ac:dyDescent="0.2">
      <c r="A22" s="37" t="s">
        <v>17</v>
      </c>
      <c r="D22" s="37" t="s">
        <v>130</v>
      </c>
      <c r="E22" s="37" t="s">
        <v>150</v>
      </c>
      <c r="H22" s="37" t="s">
        <v>62</v>
      </c>
      <c r="L22" s="37" t="s">
        <v>133</v>
      </c>
      <c r="N22" s="38">
        <v>50</v>
      </c>
      <c r="O22" s="38">
        <v>10</v>
      </c>
      <c r="P22" s="38"/>
      <c r="Q22" s="38"/>
      <c r="R22" s="39">
        <v>1.5</v>
      </c>
      <c r="S22" s="39">
        <v>0.5</v>
      </c>
      <c r="T22" s="39">
        <v>3</v>
      </c>
      <c r="U22" s="39">
        <v>0.5</v>
      </c>
      <c r="V22" s="40"/>
      <c r="W22" s="2" t="s">
        <v>148</v>
      </c>
    </row>
    <row r="23" spans="1:30" ht="15" x14ac:dyDescent="0.25">
      <c r="A23" s="1" t="s">
        <v>65</v>
      </c>
      <c r="B23" s="1" t="s">
        <v>19</v>
      </c>
      <c r="C23" s="7" t="s">
        <v>50</v>
      </c>
      <c r="E23" s="7" t="s">
        <v>19</v>
      </c>
      <c r="G23" s="7" t="s">
        <v>140</v>
      </c>
      <c r="H23" s="1" t="s">
        <v>62</v>
      </c>
      <c r="J23" s="1" t="s">
        <v>61</v>
      </c>
      <c r="K23" s="1" t="s">
        <v>52</v>
      </c>
      <c r="L23" s="1" t="s">
        <v>141</v>
      </c>
      <c r="N23" s="25">
        <v>20</v>
      </c>
      <c r="O23" s="25">
        <v>10</v>
      </c>
      <c r="R23" s="2">
        <v>1.5</v>
      </c>
      <c r="S23" s="2">
        <v>0.5</v>
      </c>
      <c r="T23" s="2">
        <v>3</v>
      </c>
      <c r="U23" s="2">
        <v>0.5</v>
      </c>
      <c r="V23" s="36">
        <v>50000000</v>
      </c>
      <c r="W23" s="2" t="s">
        <v>148</v>
      </c>
    </row>
    <row r="24" spans="1:30" ht="15" x14ac:dyDescent="0.25">
      <c r="A24" s="1" t="s">
        <v>65</v>
      </c>
      <c r="B24" s="1" t="s">
        <v>20</v>
      </c>
      <c r="C24" s="7" t="s">
        <v>50</v>
      </c>
      <c r="E24" s="7" t="s">
        <v>20</v>
      </c>
      <c r="G24" t="s">
        <v>142</v>
      </c>
      <c r="H24" s="1" t="s">
        <v>62</v>
      </c>
      <c r="J24" s="7" t="s">
        <v>52</v>
      </c>
      <c r="K24" s="1" t="s">
        <v>143</v>
      </c>
      <c r="L24" s="1" t="s">
        <v>141</v>
      </c>
      <c r="N24" s="25">
        <v>35</v>
      </c>
      <c r="O24" s="25">
        <v>10</v>
      </c>
      <c r="R24" s="2">
        <v>1.5</v>
      </c>
      <c r="S24" s="2">
        <v>0.5</v>
      </c>
      <c r="T24" s="2">
        <v>3</v>
      </c>
      <c r="U24" s="2">
        <v>0.5</v>
      </c>
      <c r="V24" s="36">
        <v>50000000</v>
      </c>
      <c r="W24" s="2" t="s">
        <v>148</v>
      </c>
    </row>
    <row r="25" spans="1:30" x14ac:dyDescent="0.2">
      <c r="A25" s="1" t="s">
        <v>65</v>
      </c>
      <c r="E25" s="1" t="s">
        <v>53</v>
      </c>
      <c r="H25" s="1" t="s">
        <v>14</v>
      </c>
      <c r="J25" s="1" t="s">
        <v>61</v>
      </c>
      <c r="K25" s="1" t="s">
        <v>59</v>
      </c>
      <c r="L25" s="1" t="s">
        <v>60</v>
      </c>
      <c r="N25" s="25">
        <v>40</v>
      </c>
      <c r="O25" s="25">
        <v>10</v>
      </c>
      <c r="P25" s="25">
        <v>55</v>
      </c>
      <c r="Q25" s="25">
        <v>10</v>
      </c>
      <c r="R25" s="2">
        <v>1.5</v>
      </c>
      <c r="S25" s="2">
        <v>0.5</v>
      </c>
      <c r="T25" s="2">
        <v>3</v>
      </c>
      <c r="U25" s="2">
        <v>0.5</v>
      </c>
      <c r="W25" s="2" t="s">
        <v>148</v>
      </c>
    </row>
    <row r="26" spans="1:30" ht="15" x14ac:dyDescent="0.25">
      <c r="A26" s="1" t="s">
        <v>65</v>
      </c>
      <c r="E26" s="7" t="s">
        <v>54</v>
      </c>
      <c r="J26" s="1" t="s">
        <v>144</v>
      </c>
      <c r="K26" s="1" t="s">
        <v>145</v>
      </c>
      <c r="L26" s="1" t="s">
        <v>146</v>
      </c>
      <c r="N26" s="25">
        <v>40</v>
      </c>
      <c r="O26" s="25">
        <v>10</v>
      </c>
      <c r="R26" s="2">
        <v>1.5</v>
      </c>
      <c r="S26" s="2">
        <v>0.5</v>
      </c>
      <c r="T26" s="2">
        <v>3</v>
      </c>
      <c r="U26" s="2">
        <v>0.5</v>
      </c>
      <c r="V26" s="36">
        <v>50000000</v>
      </c>
      <c r="W26" s="2" t="s">
        <v>148</v>
      </c>
      <c r="AD26" s="1" t="s">
        <v>147</v>
      </c>
    </row>
  </sheetData>
  <autoFilter ref="A4:W26" xr:uid="{00000000-0001-0000-0100-000000000000}"/>
  <hyperlinks>
    <hyperlink ref="C23" r:id="rId1" xr:uid="{B5DE6316-08C4-4DC1-8916-830C0E14F3E5}"/>
    <hyperlink ref="C24" r:id="rId2" xr:uid="{31D1E144-4E37-4E22-AE34-E5D5D3FD7329}"/>
    <hyperlink ref="E24" r:id="rId3" xr:uid="{6DF9FA0F-D8C5-4CD0-AC8F-A617D68C4E70}"/>
    <hyperlink ref="E23" r:id="rId4" xr:uid="{BFB6E844-0CD0-4FD7-8F6C-37E9DDD291E0}"/>
    <hyperlink ref="J24" r:id="rId5" xr:uid="{1DE195A1-AF7C-4CC5-A317-43854719BB48}"/>
    <hyperlink ref="G23" r:id="rId6" xr:uid="{639B9BFE-44D9-4983-999A-E75A2636AB00}"/>
    <hyperlink ref="E26" r:id="rId7" xr:uid="{E01438B6-7E1D-4316-B77A-93510F4B3E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064D-340A-427B-A120-40E4A21FC78A}">
  <dimension ref="A1:AD26"/>
  <sheetViews>
    <sheetView tabSelected="1" workbookViewId="0">
      <selection activeCell="J24" sqref="J24"/>
    </sheetView>
  </sheetViews>
  <sheetFormatPr defaultColWidth="9" defaultRowHeight="14.25" x14ac:dyDescent="0.2"/>
  <cols>
    <col min="1" max="1" width="25.625" style="1" customWidth="1"/>
    <col min="2" max="2" width="14.125" style="1" customWidth="1"/>
    <col min="3" max="3" width="10.625" style="1" customWidth="1"/>
    <col min="4" max="4" width="22.25" style="1" bestFit="1" customWidth="1"/>
    <col min="5" max="5" width="7.25" style="1" customWidth="1"/>
    <col min="6" max="6" width="6.625" style="1" customWidth="1"/>
    <col min="7" max="7" width="15.25" style="1" bestFit="1" customWidth="1"/>
    <col min="8" max="8" width="12" style="1" customWidth="1"/>
    <col min="9" max="9" width="17.875" style="1" customWidth="1"/>
    <col min="10" max="10" width="15.375" style="1" customWidth="1"/>
    <col min="11" max="11" width="11.875" style="1" customWidth="1"/>
    <col min="12" max="12" width="11.75" style="1" customWidth="1"/>
    <col min="13" max="13" width="8.75" style="1" customWidth="1"/>
    <col min="14" max="14" width="7.625" style="25" customWidth="1"/>
    <col min="15" max="17" width="9" style="25"/>
    <col min="18" max="19" width="11.125" style="2" customWidth="1"/>
    <col min="20" max="21" width="9" style="2"/>
    <col min="22" max="22" width="16.25" style="36" bestFit="1" customWidth="1"/>
    <col min="23" max="23" width="22.625" style="2" bestFit="1" customWidth="1"/>
    <col min="24" max="16384" width="9" style="1"/>
  </cols>
  <sheetData>
    <row r="1" spans="1:23" s="3" customFormat="1" ht="15" x14ac:dyDescent="0.25">
      <c r="A1" s="3" t="s">
        <v>134</v>
      </c>
      <c r="D1" s="26"/>
      <c r="E1" s="26"/>
      <c r="F1" s="26"/>
      <c r="G1" s="26"/>
      <c r="H1" s="26" t="s">
        <v>21</v>
      </c>
      <c r="I1" s="26"/>
      <c r="J1" s="26"/>
      <c r="K1" s="26"/>
      <c r="L1" s="26"/>
      <c r="M1" s="26"/>
      <c r="N1" s="27"/>
      <c r="O1" s="27"/>
      <c r="P1" s="27"/>
      <c r="Q1" s="27"/>
      <c r="R1" s="5"/>
      <c r="S1" s="5"/>
      <c r="T1" s="5"/>
      <c r="U1" s="5"/>
      <c r="V1" s="34"/>
      <c r="W1" s="5"/>
    </row>
    <row r="2" spans="1:23" s="3" customFormat="1" ht="15" x14ac:dyDescent="0.25">
      <c r="D2" s="26"/>
      <c r="E2" s="26"/>
      <c r="F2" s="26"/>
      <c r="G2" s="26"/>
      <c r="H2" s="26"/>
      <c r="I2" s="26"/>
      <c r="J2" s="26" t="s">
        <v>51</v>
      </c>
      <c r="K2" s="26"/>
      <c r="L2" s="26"/>
      <c r="M2" s="26"/>
      <c r="N2" s="27" t="s">
        <v>26</v>
      </c>
      <c r="O2" s="27"/>
      <c r="P2" s="27"/>
      <c r="Q2" s="27"/>
      <c r="R2" s="28"/>
      <c r="S2" s="28"/>
      <c r="T2" s="5"/>
      <c r="U2" s="5"/>
      <c r="V2" s="34"/>
      <c r="W2" s="5" t="s">
        <v>5</v>
      </c>
    </row>
    <row r="3" spans="1:23" s="4" customFormat="1" ht="42" customHeight="1" x14ac:dyDescent="0.25">
      <c r="N3" s="29" t="s">
        <v>63</v>
      </c>
      <c r="O3" s="29"/>
      <c r="P3" s="29" t="s">
        <v>64</v>
      </c>
      <c r="Q3" s="29"/>
      <c r="R3" s="30" t="s">
        <v>27</v>
      </c>
      <c r="S3" s="30"/>
      <c r="T3" s="30" t="s">
        <v>28</v>
      </c>
      <c r="U3" s="30"/>
      <c r="V3" s="35" t="s">
        <v>135</v>
      </c>
      <c r="W3" s="6"/>
    </row>
    <row r="4" spans="1:23" ht="45" x14ac:dyDescent="0.25">
      <c r="A4" s="4" t="s">
        <v>136</v>
      </c>
      <c r="B4" s="4" t="s">
        <v>149</v>
      </c>
      <c r="C4" s="4" t="s">
        <v>55</v>
      </c>
      <c r="D4" s="4" t="s">
        <v>22</v>
      </c>
      <c r="E4" s="4" t="s">
        <v>23</v>
      </c>
      <c r="F4" s="4" t="s">
        <v>31</v>
      </c>
      <c r="G4" s="4" t="s">
        <v>137</v>
      </c>
      <c r="H4" s="4" t="s">
        <v>10</v>
      </c>
      <c r="I4" s="4" t="s">
        <v>41</v>
      </c>
      <c r="J4" s="4" t="s">
        <v>56</v>
      </c>
      <c r="K4" s="4" t="s">
        <v>58</v>
      </c>
      <c r="L4" s="4" t="s">
        <v>57</v>
      </c>
      <c r="M4" s="4" t="s">
        <v>37</v>
      </c>
      <c r="N4" s="31" t="s">
        <v>29</v>
      </c>
      <c r="O4" s="31" t="s">
        <v>30</v>
      </c>
      <c r="P4" s="31" t="s">
        <v>29</v>
      </c>
      <c r="Q4" s="31" t="s">
        <v>30</v>
      </c>
      <c r="R4" s="5" t="s">
        <v>29</v>
      </c>
      <c r="S4" s="5" t="s">
        <v>30</v>
      </c>
      <c r="T4" s="5" t="s">
        <v>33</v>
      </c>
      <c r="U4" s="5" t="s">
        <v>30</v>
      </c>
      <c r="V4" s="34"/>
      <c r="W4" s="5"/>
    </row>
    <row r="5" spans="1:23" s="3" customFormat="1" ht="15" x14ac:dyDescent="0.25">
      <c r="A5" s="3" t="s">
        <v>49</v>
      </c>
      <c r="B5" s="3" t="s">
        <v>138</v>
      </c>
      <c r="D5" s="3" t="s">
        <v>24</v>
      </c>
      <c r="E5" s="3" t="s">
        <v>131</v>
      </c>
      <c r="H5" s="3" t="s">
        <v>62</v>
      </c>
      <c r="J5" s="3" t="s">
        <v>151</v>
      </c>
      <c r="L5" s="3" t="s">
        <v>133</v>
      </c>
      <c r="N5" s="31">
        <v>30</v>
      </c>
      <c r="O5" s="31">
        <v>10</v>
      </c>
      <c r="P5" s="31"/>
      <c r="Q5" s="31"/>
      <c r="R5" s="5">
        <v>1.5</v>
      </c>
      <c r="S5" s="5">
        <v>0.5</v>
      </c>
      <c r="T5" s="5">
        <v>3</v>
      </c>
      <c r="U5" s="5">
        <v>0.5</v>
      </c>
      <c r="V5" s="34"/>
      <c r="W5" s="5" t="s">
        <v>46</v>
      </c>
    </row>
    <row r="6" spans="1:23" s="3" customFormat="1" ht="15" x14ac:dyDescent="0.25">
      <c r="A6" s="3" t="s">
        <v>49</v>
      </c>
      <c r="B6" s="3" t="s">
        <v>139</v>
      </c>
      <c r="D6" s="3" t="s">
        <v>24</v>
      </c>
      <c r="E6" s="3" t="s">
        <v>131</v>
      </c>
      <c r="H6" s="3" t="s">
        <v>62</v>
      </c>
      <c r="J6" s="3" t="s">
        <v>151</v>
      </c>
      <c r="L6" s="3" t="s">
        <v>133</v>
      </c>
      <c r="N6" s="31">
        <v>30</v>
      </c>
      <c r="O6" s="31"/>
      <c r="P6" s="31"/>
      <c r="Q6" s="31"/>
      <c r="R6" s="5"/>
      <c r="S6" s="5"/>
      <c r="T6" s="5"/>
      <c r="U6" s="5"/>
      <c r="V6" s="34"/>
      <c r="W6" s="5" t="s">
        <v>46</v>
      </c>
    </row>
    <row r="7" spans="1:23" ht="15" x14ac:dyDescent="0.2">
      <c r="A7" s="1" t="s">
        <v>17</v>
      </c>
      <c r="B7" s="32"/>
      <c r="D7" s="1" t="s">
        <v>24</v>
      </c>
      <c r="E7" s="1" t="s">
        <v>25</v>
      </c>
      <c r="H7" s="1" t="s">
        <v>11</v>
      </c>
      <c r="I7" s="1" t="s">
        <v>43</v>
      </c>
      <c r="J7" s="1" t="s">
        <v>18</v>
      </c>
      <c r="N7" s="25">
        <v>35</v>
      </c>
      <c r="O7" s="25">
        <v>10</v>
      </c>
      <c r="R7" s="2">
        <v>1.5</v>
      </c>
      <c r="S7" s="2">
        <v>0.5</v>
      </c>
      <c r="T7" s="2">
        <v>3</v>
      </c>
      <c r="U7" s="2">
        <v>0.5</v>
      </c>
      <c r="W7" s="2" t="s">
        <v>46</v>
      </c>
    </row>
    <row r="8" spans="1:23" ht="15" x14ac:dyDescent="0.2">
      <c r="A8" s="1" t="s">
        <v>17</v>
      </c>
      <c r="B8" s="32"/>
      <c r="D8" s="1" t="s">
        <v>24</v>
      </c>
      <c r="E8" s="1" t="s">
        <v>25</v>
      </c>
      <c r="H8" s="1" t="s">
        <v>11</v>
      </c>
      <c r="I8" s="1" t="s">
        <v>43</v>
      </c>
      <c r="J8" s="1" t="s">
        <v>13</v>
      </c>
      <c r="N8" s="25">
        <v>20</v>
      </c>
      <c r="W8" s="2" t="s">
        <v>46</v>
      </c>
    </row>
    <row r="9" spans="1:23" ht="15" x14ac:dyDescent="0.2">
      <c r="A9" s="1" t="s">
        <v>17</v>
      </c>
      <c r="B9" s="32"/>
      <c r="D9" s="1" t="s">
        <v>24</v>
      </c>
      <c r="E9" s="1" t="s">
        <v>25</v>
      </c>
      <c r="H9" s="1" t="s">
        <v>11</v>
      </c>
      <c r="I9" s="1" t="s">
        <v>43</v>
      </c>
      <c r="J9" s="1" t="s">
        <v>12</v>
      </c>
      <c r="N9" s="25">
        <v>40</v>
      </c>
      <c r="W9" s="2" t="s">
        <v>46</v>
      </c>
    </row>
    <row r="10" spans="1:23" ht="15" x14ac:dyDescent="0.2">
      <c r="A10" s="1" t="s">
        <v>17</v>
      </c>
      <c r="B10" s="32"/>
      <c r="D10" s="1" t="s">
        <v>24</v>
      </c>
      <c r="E10" s="1" t="s">
        <v>25</v>
      </c>
      <c r="H10" s="1" t="s">
        <v>11</v>
      </c>
      <c r="I10" s="1" t="s">
        <v>43</v>
      </c>
      <c r="J10" s="1" t="s">
        <v>34</v>
      </c>
      <c r="N10" s="25">
        <v>35</v>
      </c>
      <c r="W10" s="2" t="s">
        <v>46</v>
      </c>
    </row>
    <row r="11" spans="1:23" ht="15" x14ac:dyDescent="0.2">
      <c r="A11" s="1" t="s">
        <v>17</v>
      </c>
      <c r="B11" s="32"/>
      <c r="D11" s="1" t="s">
        <v>24</v>
      </c>
      <c r="E11" s="1" t="s">
        <v>25</v>
      </c>
      <c r="H11" s="1" t="s">
        <v>11</v>
      </c>
      <c r="I11" s="1" t="s">
        <v>43</v>
      </c>
      <c r="J11" s="1" t="s">
        <v>35</v>
      </c>
      <c r="N11" s="25">
        <v>20</v>
      </c>
      <c r="W11" s="2" t="s">
        <v>46</v>
      </c>
    </row>
    <row r="12" spans="1:23" ht="15" x14ac:dyDescent="0.2">
      <c r="A12" s="1" t="s">
        <v>17</v>
      </c>
      <c r="B12" s="32"/>
      <c r="H12" s="1" t="s">
        <v>11</v>
      </c>
      <c r="I12" s="1" t="s">
        <v>43</v>
      </c>
      <c r="J12" s="1" t="s">
        <v>45</v>
      </c>
      <c r="N12" s="25">
        <v>50</v>
      </c>
      <c r="W12" s="2" t="s">
        <v>46</v>
      </c>
    </row>
    <row r="13" spans="1:23" ht="18" x14ac:dyDescent="0.2">
      <c r="A13" s="1" t="s">
        <v>17</v>
      </c>
      <c r="B13" s="33"/>
      <c r="D13" s="1" t="s">
        <v>24</v>
      </c>
      <c r="H13" s="1" t="s">
        <v>11</v>
      </c>
      <c r="I13" s="1" t="s">
        <v>43</v>
      </c>
      <c r="J13" s="1" t="s">
        <v>47</v>
      </c>
      <c r="N13" s="25">
        <v>70</v>
      </c>
      <c r="W13" s="2" t="s">
        <v>46</v>
      </c>
    </row>
    <row r="14" spans="1:23" ht="15" x14ac:dyDescent="0.2">
      <c r="A14" s="1" t="s">
        <v>17</v>
      </c>
      <c r="B14" s="32"/>
      <c r="D14" s="1" t="s">
        <v>24</v>
      </c>
      <c r="E14" s="1" t="s">
        <v>25</v>
      </c>
      <c r="H14" s="1" t="s">
        <v>15</v>
      </c>
      <c r="I14" s="1" t="s">
        <v>43</v>
      </c>
      <c r="J14" s="1" t="s">
        <v>36</v>
      </c>
      <c r="M14" s="1" t="s">
        <v>38</v>
      </c>
      <c r="N14" s="25">
        <v>50</v>
      </c>
      <c r="W14" s="2" t="s">
        <v>46</v>
      </c>
    </row>
    <row r="15" spans="1:23" ht="15" x14ac:dyDescent="0.2">
      <c r="A15" s="1" t="s">
        <v>17</v>
      </c>
      <c r="B15" s="32"/>
      <c r="D15" s="1" t="s">
        <v>24</v>
      </c>
      <c r="E15" s="1" t="s">
        <v>25</v>
      </c>
      <c r="H15" s="1" t="s">
        <v>15</v>
      </c>
      <c r="I15" s="1" t="s">
        <v>43</v>
      </c>
      <c r="J15" s="1" t="s">
        <v>39</v>
      </c>
      <c r="N15" s="25">
        <v>60</v>
      </c>
      <c r="W15" s="2" t="s">
        <v>46</v>
      </c>
    </row>
    <row r="16" spans="1:23" ht="15" x14ac:dyDescent="0.2">
      <c r="A16" s="1" t="s">
        <v>17</v>
      </c>
      <c r="B16" s="32"/>
      <c r="D16" s="1" t="s">
        <v>24</v>
      </c>
      <c r="E16" s="1" t="s">
        <v>25</v>
      </c>
      <c r="H16" s="1" t="s">
        <v>15</v>
      </c>
      <c r="I16" s="1" t="s">
        <v>43</v>
      </c>
      <c r="J16" s="1" t="s">
        <v>40</v>
      </c>
      <c r="N16" s="25">
        <v>70</v>
      </c>
      <c r="W16" s="2" t="s">
        <v>46</v>
      </c>
    </row>
    <row r="17" spans="1:30" ht="15" x14ac:dyDescent="0.2">
      <c r="A17" s="1" t="s">
        <v>17</v>
      </c>
      <c r="B17" s="32"/>
      <c r="H17" s="1" t="s">
        <v>15</v>
      </c>
      <c r="I17" s="1" t="s">
        <v>43</v>
      </c>
      <c r="J17" s="1" t="s">
        <v>42</v>
      </c>
      <c r="N17" s="25">
        <v>50</v>
      </c>
      <c r="W17" s="2" t="s">
        <v>46</v>
      </c>
    </row>
    <row r="18" spans="1:30" ht="15" x14ac:dyDescent="0.2">
      <c r="A18" s="1" t="s">
        <v>17</v>
      </c>
      <c r="B18" s="32"/>
      <c r="E18" s="1" t="s">
        <v>25</v>
      </c>
      <c r="H18" s="1" t="s">
        <v>15</v>
      </c>
      <c r="I18" s="1" t="s">
        <v>43</v>
      </c>
      <c r="J18" s="1" t="s">
        <v>48</v>
      </c>
      <c r="M18" s="1" t="s">
        <v>38</v>
      </c>
      <c r="N18" s="25">
        <v>60</v>
      </c>
      <c r="W18" s="2" t="s">
        <v>46</v>
      </c>
    </row>
    <row r="19" spans="1:30" ht="15" x14ac:dyDescent="0.2">
      <c r="A19" s="1" t="s">
        <v>17</v>
      </c>
      <c r="B19" s="32"/>
      <c r="D19" s="1" t="s">
        <v>24</v>
      </c>
      <c r="E19" s="1" t="s">
        <v>25</v>
      </c>
      <c r="H19" s="1" t="s">
        <v>14</v>
      </c>
      <c r="I19" s="1" t="s">
        <v>43</v>
      </c>
      <c r="J19" s="1" t="s">
        <v>44</v>
      </c>
      <c r="N19" s="25">
        <v>70</v>
      </c>
      <c r="W19" s="2" t="s">
        <v>46</v>
      </c>
    </row>
    <row r="20" spans="1:30" ht="15" x14ac:dyDescent="0.2">
      <c r="A20" s="1" t="s">
        <v>17</v>
      </c>
      <c r="B20" s="32"/>
      <c r="H20" s="1" t="s">
        <v>14</v>
      </c>
      <c r="I20" s="1" t="s">
        <v>43</v>
      </c>
      <c r="J20" s="1" t="s">
        <v>16</v>
      </c>
      <c r="N20" s="25">
        <v>50</v>
      </c>
      <c r="W20" s="2" t="s">
        <v>46</v>
      </c>
    </row>
    <row r="21" spans="1:30" s="37" customFormat="1" x14ac:dyDescent="0.2">
      <c r="A21" s="37" t="s">
        <v>17</v>
      </c>
      <c r="D21" s="37" t="s">
        <v>130</v>
      </c>
      <c r="E21" s="37" t="s">
        <v>131</v>
      </c>
      <c r="H21" s="37" t="s">
        <v>62</v>
      </c>
      <c r="J21" s="1" t="s">
        <v>151</v>
      </c>
      <c r="L21" s="37" t="s">
        <v>133</v>
      </c>
      <c r="N21" s="38">
        <v>30</v>
      </c>
      <c r="O21" s="38">
        <v>10</v>
      </c>
      <c r="P21" s="38"/>
      <c r="Q21" s="38"/>
      <c r="R21" s="39">
        <v>1.5</v>
      </c>
      <c r="S21" s="39">
        <v>0.5</v>
      </c>
      <c r="T21" s="39">
        <v>3</v>
      </c>
      <c r="U21" s="39">
        <v>0.5</v>
      </c>
      <c r="V21" s="40"/>
      <c r="W21" s="39" t="s">
        <v>46</v>
      </c>
    </row>
    <row r="22" spans="1:30" s="37" customFormat="1" x14ac:dyDescent="0.2">
      <c r="A22" s="37" t="s">
        <v>17</v>
      </c>
      <c r="D22" s="37" t="s">
        <v>130</v>
      </c>
      <c r="E22" s="37" t="s">
        <v>150</v>
      </c>
      <c r="H22" s="37" t="s">
        <v>62</v>
      </c>
      <c r="L22" s="37" t="s">
        <v>133</v>
      </c>
      <c r="N22" s="38">
        <v>50</v>
      </c>
      <c r="O22" s="38">
        <v>10</v>
      </c>
      <c r="P22" s="38"/>
      <c r="Q22" s="38"/>
      <c r="R22" s="39">
        <v>1.5</v>
      </c>
      <c r="S22" s="39">
        <v>0.5</v>
      </c>
      <c r="T22" s="39">
        <v>3</v>
      </c>
      <c r="U22" s="39">
        <v>0.5</v>
      </c>
      <c r="V22" s="40"/>
      <c r="W22" s="39" t="s">
        <v>46</v>
      </c>
    </row>
    <row r="23" spans="1:30" ht="15" x14ac:dyDescent="0.25">
      <c r="A23" s="1" t="s">
        <v>65</v>
      </c>
      <c r="B23" s="1" t="s">
        <v>19</v>
      </c>
      <c r="C23" s="7" t="s">
        <v>50</v>
      </c>
      <c r="E23" s="7" t="s">
        <v>19</v>
      </c>
      <c r="G23" s="7" t="s">
        <v>140</v>
      </c>
      <c r="H23" s="1" t="s">
        <v>62</v>
      </c>
      <c r="J23" s="1" t="s">
        <v>152</v>
      </c>
      <c r="K23" s="1" t="s">
        <v>52</v>
      </c>
      <c r="L23" s="1" t="s">
        <v>141</v>
      </c>
      <c r="N23" s="25">
        <v>20</v>
      </c>
      <c r="O23" s="25">
        <v>10</v>
      </c>
      <c r="R23" s="2">
        <v>1.5</v>
      </c>
      <c r="S23" s="2">
        <v>0.5</v>
      </c>
      <c r="T23" s="2">
        <v>3</v>
      </c>
      <c r="U23" s="2">
        <v>0.5</v>
      </c>
      <c r="V23" s="36">
        <v>50000000</v>
      </c>
      <c r="W23" s="2" t="s">
        <v>148</v>
      </c>
    </row>
    <row r="24" spans="1:30" ht="15" x14ac:dyDescent="0.25">
      <c r="A24" s="1" t="s">
        <v>65</v>
      </c>
      <c r="B24" s="1" t="s">
        <v>20</v>
      </c>
      <c r="C24" s="7" t="s">
        <v>50</v>
      </c>
      <c r="E24" s="7" t="s">
        <v>20</v>
      </c>
      <c r="G24" t="s">
        <v>142</v>
      </c>
      <c r="H24" s="1" t="s">
        <v>62</v>
      </c>
      <c r="J24" s="7" t="s">
        <v>52</v>
      </c>
      <c r="K24" s="1" t="s">
        <v>143</v>
      </c>
      <c r="L24" s="1" t="s">
        <v>141</v>
      </c>
      <c r="N24" s="25">
        <v>35</v>
      </c>
      <c r="O24" s="25">
        <v>10</v>
      </c>
      <c r="R24" s="2">
        <v>1.5</v>
      </c>
      <c r="S24" s="2">
        <v>0.5</v>
      </c>
      <c r="T24" s="2">
        <v>3</v>
      </c>
      <c r="U24" s="2">
        <v>0.5</v>
      </c>
      <c r="V24" s="36">
        <v>50000000</v>
      </c>
      <c r="W24" s="2" t="s">
        <v>148</v>
      </c>
    </row>
    <row r="25" spans="1:30" x14ac:dyDescent="0.2">
      <c r="A25" s="1" t="s">
        <v>65</v>
      </c>
      <c r="E25" s="1" t="s">
        <v>53</v>
      </c>
      <c r="H25" s="1" t="s">
        <v>14</v>
      </c>
      <c r="J25" s="1" t="s">
        <v>61</v>
      </c>
      <c r="K25" s="1" t="s">
        <v>59</v>
      </c>
      <c r="L25" s="1" t="s">
        <v>60</v>
      </c>
      <c r="N25" s="25">
        <v>40</v>
      </c>
      <c r="O25" s="25">
        <v>10</v>
      </c>
      <c r="P25" s="25">
        <v>55</v>
      </c>
      <c r="Q25" s="25">
        <v>10</v>
      </c>
      <c r="R25" s="2">
        <v>1.5</v>
      </c>
      <c r="S25" s="2">
        <v>0.5</v>
      </c>
      <c r="T25" s="2">
        <v>3</v>
      </c>
      <c r="U25" s="2">
        <v>0.5</v>
      </c>
      <c r="W25" s="2" t="s">
        <v>148</v>
      </c>
    </row>
    <row r="26" spans="1:30" ht="15" x14ac:dyDescent="0.25">
      <c r="A26" s="1" t="s">
        <v>65</v>
      </c>
      <c r="E26" s="7" t="s">
        <v>54</v>
      </c>
      <c r="J26" s="1" t="s">
        <v>144</v>
      </c>
      <c r="K26" s="1" t="s">
        <v>145</v>
      </c>
      <c r="L26" s="1" t="s">
        <v>146</v>
      </c>
      <c r="N26" s="25">
        <v>40</v>
      </c>
      <c r="O26" s="25">
        <v>10</v>
      </c>
      <c r="R26" s="2">
        <v>1.5</v>
      </c>
      <c r="S26" s="2">
        <v>0.5</v>
      </c>
      <c r="T26" s="2">
        <v>3</v>
      </c>
      <c r="U26" s="2">
        <v>0.5</v>
      </c>
      <c r="V26" s="36">
        <v>50000000</v>
      </c>
      <c r="W26" s="2" t="s">
        <v>148</v>
      </c>
      <c r="AD26" s="1" t="s">
        <v>147</v>
      </c>
    </row>
  </sheetData>
  <autoFilter ref="A4:W26" xr:uid="{00000000-0001-0000-0100-000000000000}"/>
  <hyperlinks>
    <hyperlink ref="C23" r:id="rId1" xr:uid="{9B88FC50-6DC0-450D-9A27-22B7EB1429E4}"/>
    <hyperlink ref="C24" r:id="rId2" xr:uid="{B98746D3-A212-4601-BF8D-CE9E7C7DA3DF}"/>
    <hyperlink ref="E24" r:id="rId3" xr:uid="{40DA448A-1CF0-495D-B58A-6B8F2574D03F}"/>
    <hyperlink ref="E23" r:id="rId4" xr:uid="{CDAA3859-C185-475A-B066-3FED604CCD1D}"/>
    <hyperlink ref="J24" r:id="rId5" xr:uid="{0A6EC82D-2E2E-40EB-9D37-F5E10F8DDA02}"/>
    <hyperlink ref="G23" r:id="rId6" xr:uid="{52F34D0A-29E3-4765-B35B-8D3C429FAC22}"/>
    <hyperlink ref="E26" r:id="rId7" xr:uid="{8E269CEA-CA25-4677-AB0F-08BD36FBB3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/>
  </sheetViews>
  <sheetFormatPr defaultColWidth="9" defaultRowHeight="14.25" x14ac:dyDescent="0.2"/>
  <cols>
    <col min="1" max="1" width="66.375" style="1" customWidth="1"/>
    <col min="2" max="2" width="24.875" style="1" customWidth="1"/>
    <col min="3" max="3" width="22.5" style="1" customWidth="1"/>
    <col min="4" max="4" width="9" style="1"/>
    <col min="5" max="6" width="20.75" style="1" customWidth="1"/>
    <col min="7" max="7" width="23.125" style="1" customWidth="1"/>
    <col min="8" max="8" width="25.875" style="1" customWidth="1"/>
    <col min="9" max="9" width="17.25" style="1" customWidth="1"/>
    <col min="10" max="10" width="33.25" style="1" customWidth="1"/>
    <col min="11" max="16384" width="9" style="1"/>
  </cols>
  <sheetData>
    <row r="1" spans="1:10" ht="15" x14ac:dyDescent="0.25">
      <c r="D1" s="3" t="s">
        <v>0</v>
      </c>
      <c r="E1" s="3" t="s">
        <v>69</v>
      </c>
      <c r="F1" s="3"/>
      <c r="G1" s="3" t="s">
        <v>2</v>
      </c>
      <c r="H1" s="3" t="s">
        <v>3</v>
      </c>
      <c r="I1" s="3" t="s">
        <v>4</v>
      </c>
      <c r="J1" s="3"/>
    </row>
    <row r="2" spans="1:10" ht="15" x14ac:dyDescent="0.25">
      <c r="A2" s="3" t="s">
        <v>1</v>
      </c>
      <c r="B2" s="3" t="s">
        <v>72</v>
      </c>
      <c r="C2" s="3" t="s">
        <v>66</v>
      </c>
      <c r="D2" s="3" t="s">
        <v>121</v>
      </c>
      <c r="E2" s="19">
        <v>45881</v>
      </c>
      <c r="F2" s="19" t="s">
        <v>128</v>
      </c>
      <c r="G2" s="3"/>
      <c r="H2" s="3"/>
      <c r="I2" s="3"/>
      <c r="J2" s="3"/>
    </row>
    <row r="3" spans="1:10" x14ac:dyDescent="0.2">
      <c r="A3" s="1" t="s">
        <v>6</v>
      </c>
      <c r="C3" s="1" t="s">
        <v>67</v>
      </c>
      <c r="D3" s="1">
        <v>1</v>
      </c>
      <c r="E3" s="1">
        <v>1</v>
      </c>
      <c r="F3" s="1">
        <f>E3-D3</f>
        <v>0</v>
      </c>
      <c r="G3" s="1" t="s">
        <v>7</v>
      </c>
      <c r="H3" s="1" t="s">
        <v>8</v>
      </c>
      <c r="I3" s="1" t="s">
        <v>124</v>
      </c>
    </row>
    <row r="4" spans="1:10" x14ac:dyDescent="0.2">
      <c r="A4" s="1" t="s">
        <v>93</v>
      </c>
      <c r="B4" s="1" t="s">
        <v>94</v>
      </c>
      <c r="C4" s="1" t="s">
        <v>129</v>
      </c>
      <c r="D4" s="1">
        <v>3</v>
      </c>
      <c r="E4" s="1">
        <v>2</v>
      </c>
      <c r="F4" s="1">
        <f t="shared" ref="F4:F19" si="0">E4-D4</f>
        <v>-1</v>
      </c>
    </row>
    <row r="5" spans="1:10" x14ac:dyDescent="0.2">
      <c r="A5" s="1" t="s">
        <v>70</v>
      </c>
      <c r="C5" s="1" t="s">
        <v>129</v>
      </c>
      <c r="D5" s="1">
        <v>1</v>
      </c>
      <c r="E5" s="1">
        <v>1</v>
      </c>
      <c r="F5" s="1">
        <f t="shared" si="0"/>
        <v>0</v>
      </c>
    </row>
    <row r="6" spans="1:10" x14ac:dyDescent="0.2">
      <c r="A6" s="1" t="s">
        <v>91</v>
      </c>
      <c r="B6" s="1" t="s">
        <v>92</v>
      </c>
      <c r="C6" s="1" t="s">
        <v>129</v>
      </c>
      <c r="D6" s="1">
        <v>2</v>
      </c>
      <c r="E6" s="1">
        <v>2</v>
      </c>
      <c r="F6" s="1">
        <f t="shared" si="0"/>
        <v>0</v>
      </c>
    </row>
    <row r="7" spans="1:10" x14ac:dyDescent="0.2">
      <c r="A7" s="1" t="s">
        <v>78</v>
      </c>
      <c r="B7" s="1" t="s">
        <v>79</v>
      </c>
      <c r="C7" s="1" t="s">
        <v>129</v>
      </c>
      <c r="D7" s="1">
        <v>1</v>
      </c>
      <c r="E7" s="1">
        <v>1</v>
      </c>
      <c r="F7" s="1">
        <f t="shared" si="0"/>
        <v>0</v>
      </c>
    </row>
    <row r="8" spans="1:10" x14ac:dyDescent="0.2">
      <c r="A8" s="1" t="s">
        <v>82</v>
      </c>
      <c r="B8" s="1" t="s">
        <v>83</v>
      </c>
      <c r="C8" s="1" t="s">
        <v>126</v>
      </c>
      <c r="D8" s="1">
        <v>1</v>
      </c>
      <c r="E8" s="1">
        <v>1</v>
      </c>
      <c r="F8" s="1">
        <f t="shared" si="0"/>
        <v>0</v>
      </c>
    </row>
    <row r="9" spans="1:10" x14ac:dyDescent="0.2">
      <c r="A9" s="1" t="s">
        <v>80</v>
      </c>
      <c r="B9" s="1" t="s">
        <v>81</v>
      </c>
      <c r="C9" s="1" t="s">
        <v>126</v>
      </c>
      <c r="D9" s="1">
        <v>1</v>
      </c>
      <c r="E9" s="1">
        <v>1</v>
      </c>
      <c r="F9" s="1">
        <f t="shared" si="0"/>
        <v>0</v>
      </c>
    </row>
    <row r="10" spans="1:10" x14ac:dyDescent="0.2">
      <c r="A10" s="1" t="s">
        <v>86</v>
      </c>
      <c r="B10" s="1" t="s">
        <v>87</v>
      </c>
      <c r="C10" s="1" t="s">
        <v>126</v>
      </c>
      <c r="D10" s="1">
        <v>1</v>
      </c>
      <c r="E10" s="1">
        <v>1</v>
      </c>
      <c r="F10" s="1">
        <f t="shared" si="0"/>
        <v>0</v>
      </c>
    </row>
    <row r="11" spans="1:10" x14ac:dyDescent="0.2">
      <c r="A11" s="1" t="s">
        <v>76</v>
      </c>
      <c r="B11" s="1" t="s">
        <v>77</v>
      </c>
      <c r="C11" s="1" t="s">
        <v>126</v>
      </c>
      <c r="D11" s="1">
        <v>1</v>
      </c>
      <c r="E11" s="1">
        <v>1</v>
      </c>
      <c r="F11" s="1">
        <f t="shared" si="0"/>
        <v>0</v>
      </c>
    </row>
    <row r="12" spans="1:10" x14ac:dyDescent="0.2">
      <c r="A12" s="1" t="s">
        <v>125</v>
      </c>
      <c r="B12" s="1" t="s">
        <v>88</v>
      </c>
      <c r="C12" s="1" t="s">
        <v>126</v>
      </c>
      <c r="D12" s="1">
        <v>1</v>
      </c>
      <c r="E12" s="1">
        <v>1</v>
      </c>
      <c r="F12" s="1">
        <f t="shared" si="0"/>
        <v>0</v>
      </c>
    </row>
    <row r="13" spans="1:10" x14ac:dyDescent="0.2">
      <c r="A13" s="1" t="s">
        <v>71</v>
      </c>
      <c r="B13" s="1" t="s">
        <v>73</v>
      </c>
      <c r="C13" s="1" t="s">
        <v>126</v>
      </c>
      <c r="D13" s="1">
        <v>1</v>
      </c>
      <c r="E13" s="1">
        <v>1</v>
      </c>
      <c r="F13" s="1">
        <f t="shared" si="0"/>
        <v>0</v>
      </c>
    </row>
    <row r="14" spans="1:10" x14ac:dyDescent="0.2">
      <c r="A14" s="1" t="s">
        <v>84</v>
      </c>
      <c r="B14" s="1" t="s">
        <v>85</v>
      </c>
      <c r="C14" s="1" t="s">
        <v>126</v>
      </c>
      <c r="D14" s="1">
        <v>1</v>
      </c>
      <c r="E14" s="1">
        <v>1</v>
      </c>
      <c r="F14" s="1">
        <f t="shared" si="0"/>
        <v>0</v>
      </c>
    </row>
    <row r="15" spans="1:10" x14ac:dyDescent="0.2">
      <c r="A15" s="1" t="s">
        <v>90</v>
      </c>
      <c r="B15" s="1" t="s">
        <v>89</v>
      </c>
      <c r="C15" s="1" t="s">
        <v>126</v>
      </c>
      <c r="D15" s="1">
        <v>1</v>
      </c>
      <c r="E15" s="1">
        <v>1</v>
      </c>
      <c r="F15" s="1">
        <f t="shared" si="0"/>
        <v>0</v>
      </c>
    </row>
    <row r="16" spans="1:10" x14ac:dyDescent="0.2">
      <c r="A16" s="1" t="s">
        <v>74</v>
      </c>
      <c r="B16" s="1" t="s">
        <v>75</v>
      </c>
      <c r="C16" s="1" t="s">
        <v>126</v>
      </c>
      <c r="D16" s="1">
        <v>1</v>
      </c>
      <c r="E16" s="1">
        <v>1</v>
      </c>
      <c r="F16" s="1">
        <f t="shared" si="0"/>
        <v>0</v>
      </c>
    </row>
    <row r="17" spans="1:6" x14ac:dyDescent="0.2">
      <c r="A17" s="1" t="s">
        <v>122</v>
      </c>
      <c r="C17" s="1" t="s">
        <v>123</v>
      </c>
      <c r="D17" s="1">
        <v>1</v>
      </c>
      <c r="E17" s="1">
        <v>1</v>
      </c>
      <c r="F17" s="1">
        <f t="shared" si="0"/>
        <v>0</v>
      </c>
    </row>
    <row r="18" spans="1:6" x14ac:dyDescent="0.2">
      <c r="A18" s="1" t="s">
        <v>9</v>
      </c>
      <c r="C18" s="1" t="s">
        <v>68</v>
      </c>
      <c r="D18" s="1">
        <v>1</v>
      </c>
      <c r="E18" s="1">
        <v>1</v>
      </c>
      <c r="F18" s="1">
        <f t="shared" si="0"/>
        <v>0</v>
      </c>
    </row>
    <row r="19" spans="1:6" x14ac:dyDescent="0.2">
      <c r="A19" s="1" t="s">
        <v>127</v>
      </c>
      <c r="C19" s="1" t="s">
        <v>68</v>
      </c>
      <c r="D19" s="1">
        <v>1</v>
      </c>
      <c r="E19" s="1">
        <v>1</v>
      </c>
      <c r="F19" s="1">
        <f t="shared" si="0"/>
        <v>0</v>
      </c>
    </row>
    <row r="31" spans="1:6" ht="15" x14ac:dyDescent="0.25">
      <c r="A31" s="3"/>
      <c r="B31" s="3"/>
      <c r="C31" s="3"/>
      <c r="E31" s="3"/>
      <c r="F31" s="3"/>
    </row>
    <row r="32" spans="1:6" ht="15" x14ac:dyDescent="0.25">
      <c r="A32" s="3"/>
      <c r="B32" s="3"/>
      <c r="C32" s="3"/>
      <c r="E32" s="3"/>
      <c r="F32" s="3"/>
    </row>
    <row r="33" spans="1:6" ht="15" x14ac:dyDescent="0.25">
      <c r="A33" s="3"/>
      <c r="B33" s="3"/>
      <c r="C33" s="3"/>
      <c r="E33" s="3"/>
      <c r="F33" s="3"/>
    </row>
    <row r="34" spans="1:6" ht="15" x14ac:dyDescent="0.25">
      <c r="A34" s="3"/>
      <c r="B34" s="3"/>
      <c r="C34" s="3"/>
      <c r="E34" s="3"/>
      <c r="F34" s="3"/>
    </row>
    <row r="35" spans="1:6" ht="15" x14ac:dyDescent="0.25">
      <c r="A35" s="3"/>
      <c r="B35" s="3"/>
      <c r="C35" s="3"/>
      <c r="E35" s="3"/>
      <c r="F35" s="3"/>
    </row>
  </sheetData>
  <autoFilter ref="A2:J2" xr:uid="{00000000-0001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1A06-DA04-4D6E-880C-7F466CAFCA26}">
  <dimension ref="A1:J35"/>
  <sheetViews>
    <sheetView workbookViewId="0"/>
  </sheetViews>
  <sheetFormatPr defaultColWidth="9" defaultRowHeight="14.25" x14ac:dyDescent="0.2"/>
  <cols>
    <col min="1" max="1" width="66.375" style="1" customWidth="1"/>
    <col min="2" max="2" width="24.875" style="1" customWidth="1"/>
    <col min="3" max="3" width="22.5" style="1" customWidth="1"/>
    <col min="4" max="4" width="9" style="1"/>
    <col min="5" max="6" width="20.75" style="1" customWidth="1"/>
    <col min="7" max="7" width="23.125" style="1" customWidth="1"/>
    <col min="8" max="8" width="25.875" style="1" customWidth="1"/>
    <col min="9" max="9" width="17.25" style="1" customWidth="1"/>
    <col min="10" max="10" width="33.25" style="1" customWidth="1"/>
    <col min="11" max="16384" width="9" style="1"/>
  </cols>
  <sheetData>
    <row r="1" spans="1:10" ht="15" x14ac:dyDescent="0.25">
      <c r="D1" s="3" t="s">
        <v>0</v>
      </c>
      <c r="E1" s="3" t="s">
        <v>69</v>
      </c>
      <c r="F1" s="3"/>
      <c r="G1" s="3" t="s">
        <v>2</v>
      </c>
      <c r="H1" s="3" t="s">
        <v>3</v>
      </c>
      <c r="I1" s="3" t="s">
        <v>4</v>
      </c>
      <c r="J1" s="3"/>
    </row>
    <row r="2" spans="1:10" ht="15" x14ac:dyDescent="0.25">
      <c r="A2" s="3" t="s">
        <v>1</v>
      </c>
      <c r="B2" s="3" t="s">
        <v>72</v>
      </c>
      <c r="C2" s="3" t="s">
        <v>66</v>
      </c>
      <c r="D2" s="3" t="s">
        <v>121</v>
      </c>
      <c r="E2" s="19">
        <v>45881</v>
      </c>
      <c r="F2" s="19" t="s">
        <v>128</v>
      </c>
      <c r="G2" s="3"/>
      <c r="H2" s="3"/>
      <c r="I2" s="3"/>
      <c r="J2" s="3"/>
    </row>
    <row r="3" spans="1:10" x14ac:dyDescent="0.2">
      <c r="A3" s="1" t="s">
        <v>6</v>
      </c>
      <c r="C3" s="1" t="s">
        <v>67</v>
      </c>
      <c r="D3" s="1">
        <v>1</v>
      </c>
      <c r="E3" s="1">
        <v>1</v>
      </c>
      <c r="F3" s="1">
        <f>E3-D3</f>
        <v>0</v>
      </c>
      <c r="G3" s="1" t="s">
        <v>7</v>
      </c>
      <c r="H3" s="1" t="s">
        <v>8</v>
      </c>
      <c r="I3" s="1" t="s">
        <v>124</v>
      </c>
    </row>
    <row r="4" spans="1:10" x14ac:dyDescent="0.2">
      <c r="A4" s="1" t="s">
        <v>93</v>
      </c>
      <c r="B4" s="1" t="s">
        <v>94</v>
      </c>
      <c r="C4" s="1" t="s">
        <v>129</v>
      </c>
      <c r="D4" s="1">
        <v>3</v>
      </c>
      <c r="E4" s="1">
        <v>2</v>
      </c>
      <c r="F4" s="1">
        <f t="shared" ref="F4:F19" si="0">E4-D4</f>
        <v>-1</v>
      </c>
    </row>
    <row r="5" spans="1:10" x14ac:dyDescent="0.2">
      <c r="A5" s="1" t="s">
        <v>70</v>
      </c>
      <c r="C5" s="1" t="s">
        <v>129</v>
      </c>
      <c r="D5" s="1">
        <v>1</v>
      </c>
      <c r="E5" s="1">
        <v>1</v>
      </c>
      <c r="F5" s="1">
        <f t="shared" si="0"/>
        <v>0</v>
      </c>
    </row>
    <row r="6" spans="1:10" x14ac:dyDescent="0.2">
      <c r="A6" s="1" t="s">
        <v>91</v>
      </c>
      <c r="B6" s="1" t="s">
        <v>92</v>
      </c>
      <c r="C6" s="1" t="s">
        <v>129</v>
      </c>
      <c r="D6" s="1">
        <v>2</v>
      </c>
      <c r="E6" s="1">
        <v>2</v>
      </c>
      <c r="F6" s="1">
        <f t="shared" si="0"/>
        <v>0</v>
      </c>
    </row>
    <row r="7" spans="1:10" x14ac:dyDescent="0.2">
      <c r="A7" s="1" t="s">
        <v>78</v>
      </c>
      <c r="B7" s="1" t="s">
        <v>79</v>
      </c>
      <c r="C7" s="1" t="s">
        <v>129</v>
      </c>
      <c r="D7" s="1">
        <v>1</v>
      </c>
      <c r="E7" s="1">
        <v>1</v>
      </c>
      <c r="F7" s="1">
        <f t="shared" si="0"/>
        <v>0</v>
      </c>
    </row>
    <row r="8" spans="1:10" x14ac:dyDescent="0.2">
      <c r="A8" s="1" t="s">
        <v>82</v>
      </c>
      <c r="B8" s="1" t="s">
        <v>83</v>
      </c>
      <c r="C8" s="1" t="s">
        <v>126</v>
      </c>
      <c r="D8" s="1">
        <v>1</v>
      </c>
      <c r="E8" s="1">
        <v>1</v>
      </c>
      <c r="F8" s="1">
        <f t="shared" si="0"/>
        <v>0</v>
      </c>
    </row>
    <row r="9" spans="1:10" x14ac:dyDescent="0.2">
      <c r="A9" s="1" t="s">
        <v>80</v>
      </c>
      <c r="B9" s="1" t="s">
        <v>81</v>
      </c>
      <c r="C9" s="1" t="s">
        <v>126</v>
      </c>
      <c r="D9" s="1">
        <v>1</v>
      </c>
      <c r="E9" s="1">
        <v>1</v>
      </c>
      <c r="F9" s="1">
        <f t="shared" si="0"/>
        <v>0</v>
      </c>
    </row>
    <row r="10" spans="1:10" x14ac:dyDescent="0.2">
      <c r="A10" s="1" t="s">
        <v>86</v>
      </c>
      <c r="B10" s="1" t="s">
        <v>87</v>
      </c>
      <c r="C10" s="1" t="s">
        <v>126</v>
      </c>
      <c r="D10" s="1">
        <v>1</v>
      </c>
      <c r="E10" s="1">
        <v>1</v>
      </c>
      <c r="F10" s="1">
        <f t="shared" si="0"/>
        <v>0</v>
      </c>
    </row>
    <row r="11" spans="1:10" x14ac:dyDescent="0.2">
      <c r="A11" s="1" t="s">
        <v>76</v>
      </c>
      <c r="B11" s="1" t="s">
        <v>77</v>
      </c>
      <c r="C11" s="1" t="s">
        <v>126</v>
      </c>
      <c r="D11" s="1">
        <v>1</v>
      </c>
      <c r="E11" s="1">
        <v>1</v>
      </c>
      <c r="F11" s="1">
        <f t="shared" si="0"/>
        <v>0</v>
      </c>
    </row>
    <row r="12" spans="1:10" x14ac:dyDescent="0.2">
      <c r="A12" s="1" t="s">
        <v>125</v>
      </c>
      <c r="B12" s="1" t="s">
        <v>88</v>
      </c>
      <c r="C12" s="1" t="s">
        <v>126</v>
      </c>
      <c r="D12" s="1">
        <v>1</v>
      </c>
      <c r="E12" s="1">
        <v>1</v>
      </c>
      <c r="F12" s="1">
        <f t="shared" si="0"/>
        <v>0</v>
      </c>
    </row>
    <row r="13" spans="1:10" x14ac:dyDescent="0.2">
      <c r="A13" s="1" t="s">
        <v>71</v>
      </c>
      <c r="B13" s="1" t="s">
        <v>73</v>
      </c>
      <c r="C13" s="1" t="s">
        <v>126</v>
      </c>
      <c r="D13" s="1">
        <v>1</v>
      </c>
      <c r="E13" s="1">
        <v>1</v>
      </c>
      <c r="F13" s="1">
        <f t="shared" si="0"/>
        <v>0</v>
      </c>
    </row>
    <row r="14" spans="1:10" x14ac:dyDescent="0.2">
      <c r="A14" s="1" t="s">
        <v>84</v>
      </c>
      <c r="B14" s="1" t="s">
        <v>85</v>
      </c>
      <c r="C14" s="1" t="s">
        <v>126</v>
      </c>
      <c r="D14" s="1">
        <v>1</v>
      </c>
      <c r="E14" s="1">
        <v>1</v>
      </c>
      <c r="F14" s="1">
        <f t="shared" si="0"/>
        <v>0</v>
      </c>
    </row>
    <row r="15" spans="1:10" x14ac:dyDescent="0.2">
      <c r="A15" s="1" t="s">
        <v>90</v>
      </c>
      <c r="B15" s="1" t="s">
        <v>89</v>
      </c>
      <c r="C15" s="1" t="s">
        <v>126</v>
      </c>
      <c r="D15" s="1">
        <v>1</v>
      </c>
      <c r="E15" s="1">
        <v>1</v>
      </c>
      <c r="F15" s="1">
        <f t="shared" si="0"/>
        <v>0</v>
      </c>
    </row>
    <row r="16" spans="1:10" x14ac:dyDescent="0.2">
      <c r="A16" s="1" t="s">
        <v>74</v>
      </c>
      <c r="B16" s="1" t="s">
        <v>75</v>
      </c>
      <c r="C16" s="1" t="s">
        <v>126</v>
      </c>
      <c r="D16" s="1">
        <v>1</v>
      </c>
      <c r="E16" s="1">
        <v>1</v>
      </c>
      <c r="F16" s="1">
        <f t="shared" si="0"/>
        <v>0</v>
      </c>
    </row>
    <row r="17" spans="1:6" x14ac:dyDescent="0.2">
      <c r="A17" s="1" t="s">
        <v>122</v>
      </c>
      <c r="C17" s="1" t="s">
        <v>123</v>
      </c>
      <c r="D17" s="1">
        <v>1</v>
      </c>
      <c r="E17" s="1">
        <v>1</v>
      </c>
      <c r="F17" s="1">
        <f t="shared" si="0"/>
        <v>0</v>
      </c>
    </row>
    <row r="18" spans="1:6" x14ac:dyDescent="0.2">
      <c r="A18" s="1" t="s">
        <v>9</v>
      </c>
      <c r="C18" s="1" t="s">
        <v>68</v>
      </c>
      <c r="D18" s="1">
        <v>1</v>
      </c>
      <c r="E18" s="1">
        <v>1</v>
      </c>
      <c r="F18" s="1">
        <f t="shared" si="0"/>
        <v>0</v>
      </c>
    </row>
    <row r="19" spans="1:6" x14ac:dyDescent="0.2">
      <c r="A19" s="1" t="s">
        <v>127</v>
      </c>
      <c r="C19" s="1" t="s">
        <v>68</v>
      </c>
      <c r="D19" s="1">
        <v>1</v>
      </c>
      <c r="E19" s="1">
        <v>1</v>
      </c>
      <c r="F19" s="1">
        <f t="shared" si="0"/>
        <v>0</v>
      </c>
    </row>
    <row r="31" spans="1:6" ht="15" x14ac:dyDescent="0.25">
      <c r="A31" s="3"/>
      <c r="B31" s="3"/>
      <c r="C31" s="3"/>
      <c r="E31" s="3"/>
      <c r="F31" s="3"/>
    </row>
    <row r="32" spans="1:6" ht="15" x14ac:dyDescent="0.25">
      <c r="A32" s="3"/>
      <c r="B32" s="3"/>
      <c r="C32" s="3"/>
      <c r="E32" s="3"/>
      <c r="F32" s="3"/>
    </row>
    <row r="33" spans="1:6" ht="15" x14ac:dyDescent="0.25">
      <c r="A33" s="3"/>
      <c r="B33" s="3"/>
      <c r="C33" s="3"/>
      <c r="E33" s="3"/>
      <c r="F33" s="3"/>
    </row>
    <row r="34" spans="1:6" ht="15" x14ac:dyDescent="0.25">
      <c r="A34" s="3"/>
      <c r="B34" s="3"/>
      <c r="C34" s="3"/>
      <c r="E34" s="3"/>
      <c r="F34" s="3"/>
    </row>
    <row r="35" spans="1:6" ht="15" x14ac:dyDescent="0.25">
      <c r="A35" s="3"/>
      <c r="B35" s="3"/>
      <c r="C35" s="3"/>
      <c r="E35" s="3"/>
      <c r="F35" s="3"/>
    </row>
  </sheetData>
  <autoFilter ref="A2:J2" xr:uid="{00000000-0001-0000-00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E91A-5799-461B-999D-8000A13B4A6C}">
  <dimension ref="A1:B11"/>
  <sheetViews>
    <sheetView workbookViewId="0"/>
  </sheetViews>
  <sheetFormatPr defaultRowHeight="13.5" x14ac:dyDescent="0.15"/>
  <cols>
    <col min="1" max="1" width="14.75" bestFit="1" customWidth="1"/>
    <col min="2" max="2" width="29.625" customWidth="1"/>
  </cols>
  <sheetData>
    <row r="1" spans="1:2" ht="15" x14ac:dyDescent="0.25">
      <c r="A1" s="18" t="s">
        <v>115</v>
      </c>
      <c r="B1" s="18"/>
    </row>
    <row r="2" spans="1:2" ht="15" x14ac:dyDescent="0.25">
      <c r="A2" s="17" t="s">
        <v>110</v>
      </c>
      <c r="B2" s="17" t="s">
        <v>107</v>
      </c>
    </row>
    <row r="3" spans="1:2" ht="15" x14ac:dyDescent="0.25">
      <c r="A3" s="17" t="s">
        <v>108</v>
      </c>
      <c r="B3" s="17" t="s">
        <v>109</v>
      </c>
    </row>
    <row r="4" spans="1:2" ht="15" x14ac:dyDescent="0.25">
      <c r="A4" s="17" t="s">
        <v>111</v>
      </c>
      <c r="B4" s="17" t="s">
        <v>112</v>
      </c>
    </row>
    <row r="5" spans="1:2" ht="15" x14ac:dyDescent="0.25">
      <c r="A5" s="17" t="s">
        <v>113</v>
      </c>
      <c r="B5" s="17" t="s">
        <v>114</v>
      </c>
    </row>
    <row r="9" spans="1:2" ht="15" x14ac:dyDescent="0.25">
      <c r="A9" s="18" t="s">
        <v>116</v>
      </c>
      <c r="B9" s="18"/>
    </row>
    <row r="10" spans="1:2" ht="15" x14ac:dyDescent="0.25">
      <c r="A10" s="17" t="s">
        <v>117</v>
      </c>
      <c r="B10" s="7" t="s">
        <v>118</v>
      </c>
    </row>
    <row r="11" spans="1:2" ht="15" x14ac:dyDescent="0.25">
      <c r="A11" s="17" t="s">
        <v>119</v>
      </c>
      <c r="B11" s="17" t="s">
        <v>120</v>
      </c>
    </row>
  </sheetData>
  <hyperlinks>
    <hyperlink ref="B10" r:id="rId1" xr:uid="{B3A98BFC-FDB9-4E2A-B4E2-264202361CE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4860-D05E-465E-8980-E4DE1C19CC6A}">
  <dimension ref="A1:E7"/>
  <sheetViews>
    <sheetView workbookViewId="0"/>
  </sheetViews>
  <sheetFormatPr defaultRowHeight="15" x14ac:dyDescent="0.25"/>
  <cols>
    <col min="1" max="1" width="29.625" style="24" customWidth="1"/>
    <col min="2" max="4" width="9" style="9"/>
    <col min="5" max="5" width="73.125" style="8" customWidth="1"/>
    <col min="6" max="16384" width="9" style="8"/>
  </cols>
  <sheetData>
    <row r="1" spans="1:5" ht="18" x14ac:dyDescent="0.25">
      <c r="A1" s="20" t="s">
        <v>102</v>
      </c>
    </row>
    <row r="3" spans="1:5" ht="45" x14ac:dyDescent="0.25">
      <c r="A3" s="21" t="s">
        <v>101</v>
      </c>
      <c r="B3" s="12" t="s">
        <v>100</v>
      </c>
      <c r="C3" s="12" t="s">
        <v>99</v>
      </c>
      <c r="D3" s="12" t="s">
        <v>98</v>
      </c>
      <c r="E3" s="11" t="s">
        <v>97</v>
      </c>
    </row>
    <row r="4" spans="1:5" ht="30" x14ac:dyDescent="0.25">
      <c r="A4" s="22" t="s">
        <v>96</v>
      </c>
      <c r="B4" s="15">
        <v>0</v>
      </c>
      <c r="C4" s="15">
        <v>45</v>
      </c>
      <c r="D4" s="14">
        <f t="shared" ref="D4:D6" si="0">SUM(B4:C4)</f>
        <v>45</v>
      </c>
      <c r="E4" s="16" t="s">
        <v>106</v>
      </c>
    </row>
    <row r="5" spans="1:5" ht="30" x14ac:dyDescent="0.25">
      <c r="A5" s="23" t="s">
        <v>105</v>
      </c>
      <c r="B5" s="15">
        <v>500</v>
      </c>
      <c r="C5" s="15">
        <v>0</v>
      </c>
      <c r="D5" s="14">
        <f t="shared" si="0"/>
        <v>500</v>
      </c>
      <c r="E5" s="16" t="s">
        <v>103</v>
      </c>
    </row>
    <row r="6" spans="1:5" x14ac:dyDescent="0.25">
      <c r="A6" s="23" t="s">
        <v>104</v>
      </c>
      <c r="B6" s="15">
        <v>1</v>
      </c>
      <c r="C6" s="15">
        <v>0</v>
      </c>
      <c r="D6" s="14">
        <f t="shared" si="0"/>
        <v>1</v>
      </c>
      <c r="E6" s="13" t="s">
        <v>95</v>
      </c>
    </row>
    <row r="7" spans="1:5" x14ac:dyDescent="0.25">
      <c r="A7" s="21"/>
      <c r="B7" s="12"/>
      <c r="C7" s="12"/>
      <c r="D7" s="10"/>
      <c r="E7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9dda1df-3fca-45c7-91be-5629a3733338}" enabled="1" method="Standard" siteId="{ec1ca250-c234-4d56-a76b-7dfb9eee0c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Rental G80 Type #1 (Red Pro Br </vt:lpstr>
      <vt:lpstr>Rental G80 Type#2 (Cherry Bloss</vt:lpstr>
      <vt:lpstr>Accessoires Rental G80 #1</vt:lpstr>
      <vt:lpstr>Accessoires Rental G80 #2</vt:lpstr>
      <vt:lpstr>Return Shipping Adress</vt:lpstr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Schmidberger</dc:creator>
  <cp:lastModifiedBy>Michael Schmidberger</cp:lastModifiedBy>
  <dcterms:created xsi:type="dcterms:W3CDTF">2024-02-04T18:26:00Z</dcterms:created>
  <dcterms:modified xsi:type="dcterms:W3CDTF">2025-11-06T11:29:37Z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26B98FA730004FC19CA92C1CB2D8C7AF_13</vt:lpwstr>
  </property>
  <property fmtid="{D5CDD505-2E9C-101B-9397-08002B2CF9AE}" pid="3" name="KSOProductBuildVer">
    <vt:lpwstr>1033-12.2.0.17119</vt:lpwstr>
  </property>
</Properties>
</file>